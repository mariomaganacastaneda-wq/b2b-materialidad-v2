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A2B9ED98-95F5-5D4A-86AE-C4F4B2EA2424}" xr6:coauthVersionLast="47" xr6:coauthVersionMax="47" xr10:uidLastSave="{00000000-0000-0000-0000-000000000000}"/>
  <bookViews>
    <workbookView xWindow="10160" yWindow="500" windowWidth="17720" windowHeight="14600" xr2:uid="{00000000-000D-0000-FFFF-FFFF00000000}"/>
  </bookViews>
  <sheets>
    <sheet name="PROFORMA SEIDCO IGM" sheetId="4" r:id="rId1"/>
    <sheet name="Hoja1" sheetId="5" state="hidden" r:id="rId2"/>
  </sheets>
  <definedNames>
    <definedName name="_xlnm.Print_Area" localSheetId="0">'PROFORMA SEIDCO IGM'!$A$1:$K$29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2" i="4" l="1"/>
  <c r="J24" i="4" s="1"/>
  <c r="J25" i="4" s="1"/>
  <c r="J26" i="4" l="1"/>
</calcChain>
</file>

<file path=xl/sharedStrings.xml><?xml version="1.0" encoding="utf-8"?>
<sst xmlns="http://schemas.openxmlformats.org/spreadsheetml/2006/main" count="130" uniqueCount="122">
  <si>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</si>
  <si>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</si>
  <si>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</si>
  <si>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</si>
  <si>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</si>
  <si>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</si>
  <si>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</si>
  <si>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</si>
  <si>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</si>
  <si>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</si>
  <si>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</si>
  <si>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</si>
  <si>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</si>
  <si>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</si>
  <si>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</si>
  <si>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</si>
  <si>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</si>
  <si>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</si>
  <si>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</si>
  <si>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</si>
  <si>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</si>
  <si>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</si>
  <si>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</si>
  <si>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</si>
  <si>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</si>
  <si>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</si>
  <si>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</si>
  <si>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</si>
  <si>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</si>
  <si>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</si>
  <si>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</si>
  <si>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</si>
  <si>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</si>
  <si>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</si>
  <si>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</si>
  <si>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</si>
  <si>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</si>
  <si>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</si>
  <si>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</si>
  <si>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</si>
  <si>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</si>
  <si>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</si>
  <si>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</si>
  <si>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</si>
  <si>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</si>
  <si>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</si>
  <si>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</si>
  <si>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</si>
  <si>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</si>
  <si>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</si>
  <si>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</si>
  <si>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</si>
  <si>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</si>
  <si>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</si>
  <si>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</si>
  <si>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</si>
  <si>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</si>
  <si>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</si>
  <si>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</si>
  <si>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</si>
  <si>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</si>
  <si>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</si>
  <si>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</si>
  <si>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</si>
  <si>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</si>
  <si>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</si>
  <si>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</si>
  <si>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</si>
  <si>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</si>
  <si>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</si>
  <si>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</si>
  <si>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</si>
  <si>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</si>
  <si>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</si>
  <si>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</si>
  <si>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</si>
  <si>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</si>
  <si>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</si>
  <si>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</si>
  <si>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</si>
  <si>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</si>
  <si>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</si>
  <si>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</si>
  <si>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</si>
  <si>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</si>
  <si>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</si>
  <si>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</si>
  <si>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</si>
  <si>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</si>
  <si>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</si>
  <si>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</si>
  <si>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</si>
  <si>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</si>
  <si>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</si>
  <si>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</si>
  <si>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</si>
  <si>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</si>
  <si>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</si>
  <si>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</si>
  <si>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</si>
  <si>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</si>
  <si>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</si>
  <si>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</si>
  <si>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</si>
  <si>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</si>
  <si>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</si>
  <si>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INMOBILIARIA GARZA MERCADO, S.A. DE C.V.</t>
  </si>
  <si>
    <t>IGM-950723-947</t>
  </si>
  <si>
    <t>C.P. 54730</t>
  </si>
  <si>
    <t xml:space="preserve">Pago del mes de Marzo 2026  por mantenimiento preventivo que incluye impermeabilización, resanes, drenaje, instalacion eléctrica, hidráulica, plomería, jardinería, herrería y cancelería a su planta ubicada en: Antoine Lavoiser No. 35, Col. Parque Industrial Cuamatla, C.P. 54730, Cuautitlán Izcalli, Estado de México. </t>
  </si>
  <si>
    <t>Empresa Emisora</t>
  </si>
  <si>
    <t>Seidco Servico de Ingeniaria y administracion integral</t>
  </si>
  <si>
    <t>RFC  del EMISOR</t>
  </si>
  <si>
    <t>SSI101213VD1</t>
  </si>
  <si>
    <t>PREFACTURA o TIMBRADO</t>
  </si>
  <si>
    <t xml:space="preserve">REQUIERE COTIZACION (S/N) </t>
  </si>
  <si>
    <t>REQUIRE CONTRATO (S/N)</t>
  </si>
  <si>
    <t xml:space="preserve">SE TIENE ANTICIPO (S/N) </t>
  </si>
  <si>
    <t>PREFACTURA</t>
  </si>
  <si>
    <t>S</t>
  </si>
  <si>
    <t>N</t>
  </si>
  <si>
    <t>NOTA  de FACTURA: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</si>
</sst>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4" borderId="3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top"/>
    </xf>
    <xf numFmtId="0" fontId="1" fillId="0" borderId="3" xfId="0" applyFont="1" applyFill="1" applyBorder="1"/>
    <xf numFmtId="0" fontId="0" fillId="2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1528433</xdr:colOff>
      <xdr:row>2</xdr:row>
      <xdr:rowOff>44823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D8256A-0450-4643-8379-5451BD67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8433" cy="4332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50" totalsRowShown="0">
  <autoFilter ref="A35:A50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2" totalsRowShown="0">
  <autoFilter ref="C25:C52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showGridLines="0" tabSelected="1" topLeftCell="A11" zoomScale="85" zoomScaleNormal="85" workbookViewId="0">
      <selection activeCell="C36" sqref="C36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  <col min="11" max="11" width="3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69" t="s">
        <v>11</v>
      </c>
      <c r="B4" s="15"/>
      <c r="C4" s="16"/>
      <c r="D4" s="16"/>
      <c r="E4" s="17"/>
      <c r="F4" s="1"/>
      <c r="G4" s="13" t="s">
        <v>9</v>
      </c>
      <c r="H4" s="18" t="s">
        <v>10</v>
      </c>
      <c r="I4" s="18"/>
      <c r="J4" s="18"/>
    </row>
    <row r="5" spans="1:10" x14ac:dyDescent="0.2">
      <c r="A5" s="68" t="s">
        <v>110</v>
      </c>
      <c r="B5" s="3" t="s">
        <v>111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67" t="s">
        <v>112</v>
      </c>
      <c r="B6" s="3" t="s">
        <v>113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69" t="s">
        <v>81</v>
      </c>
      <c r="B7" s="40" t="s">
        <v>106</v>
      </c>
      <c r="C7" s="41"/>
      <c r="D7" s="41"/>
      <c r="E7" s="41"/>
      <c r="F7" s="41"/>
      <c r="G7" s="41"/>
      <c r="H7" s="41"/>
      <c r="I7" s="41"/>
      <c r="J7" s="42"/>
    </row>
    <row r="8" spans="1:10" x14ac:dyDescent="0.2">
      <c r="A8" s="70" t="s">
        <v>75</v>
      </c>
      <c r="B8" s="19" t="s">
        <v>107</v>
      </c>
      <c r="C8" s="20"/>
      <c r="D8" s="20"/>
      <c r="E8" s="20"/>
      <c r="F8" s="20"/>
      <c r="G8" s="21"/>
      <c r="H8" s="48" t="s">
        <v>80</v>
      </c>
      <c r="I8" s="49"/>
      <c r="J8" s="50"/>
    </row>
    <row r="9" spans="1:10" x14ac:dyDescent="0.2">
      <c r="A9" s="71" t="s">
        <v>96</v>
      </c>
      <c r="B9" s="22" t="s">
        <v>108</v>
      </c>
      <c r="C9" s="23"/>
      <c r="D9" s="23"/>
      <c r="E9" s="23"/>
      <c r="F9" s="23"/>
      <c r="G9" s="24"/>
      <c r="H9" s="51"/>
      <c r="I9" s="52"/>
      <c r="J9" s="53"/>
    </row>
    <row r="10" spans="1:10" x14ac:dyDescent="0.2">
      <c r="A10" s="72"/>
      <c r="B10" s="25"/>
      <c r="C10" s="26"/>
      <c r="D10" s="26"/>
      <c r="E10" s="26"/>
      <c r="F10" s="26"/>
      <c r="G10" s="27"/>
      <c r="H10" s="51"/>
      <c r="I10" s="52"/>
      <c r="J10" s="53"/>
    </row>
    <row r="11" spans="1:10" x14ac:dyDescent="0.2">
      <c r="A11" s="73"/>
      <c r="B11" s="28"/>
      <c r="C11" s="29"/>
      <c r="D11" s="29"/>
      <c r="E11" s="29"/>
      <c r="F11" s="29"/>
      <c r="G11" s="30"/>
      <c r="H11" s="51"/>
      <c r="I11" s="52"/>
      <c r="J11" s="53"/>
    </row>
    <row r="12" spans="1:10" x14ac:dyDescent="0.2">
      <c r="A12" s="69" t="s">
        <v>76</v>
      </c>
      <c r="B12" s="45" t="s">
        <v>16</v>
      </c>
      <c r="C12" s="46"/>
      <c r="D12" s="46"/>
      <c r="E12" s="46"/>
      <c r="F12" s="46"/>
      <c r="G12" s="47"/>
      <c r="H12" s="54"/>
      <c r="I12" s="55"/>
      <c r="J12" s="56"/>
    </row>
    <row r="13" spans="1:10" x14ac:dyDescent="0.2">
      <c r="A13" s="74" t="s">
        <v>77</v>
      </c>
      <c r="B13" s="45" t="s">
        <v>41</v>
      </c>
      <c r="C13" s="46"/>
      <c r="D13" s="46"/>
      <c r="E13" s="46"/>
      <c r="F13" s="46"/>
      <c r="G13" s="47"/>
      <c r="H13" s="58" t="s">
        <v>74</v>
      </c>
      <c r="I13" s="59"/>
      <c r="J13" s="60"/>
    </row>
    <row r="14" spans="1:10" x14ac:dyDescent="0.2">
      <c r="A14" s="74" t="s">
        <v>78</v>
      </c>
      <c r="B14" s="45" t="s">
        <v>54</v>
      </c>
      <c r="C14" s="46"/>
      <c r="D14" s="46"/>
      <c r="E14" s="46"/>
      <c r="F14" s="46"/>
      <c r="G14" s="47"/>
      <c r="H14" s="61"/>
      <c r="I14" s="62"/>
      <c r="J14" s="63"/>
    </row>
    <row r="15" spans="1:10" x14ac:dyDescent="0.2">
      <c r="A15" s="74" t="s">
        <v>79</v>
      </c>
      <c r="B15" s="45" t="s">
        <v>56</v>
      </c>
      <c r="C15" s="46"/>
      <c r="D15" s="46"/>
      <c r="E15" s="46"/>
      <c r="F15" s="46"/>
      <c r="G15" s="47"/>
      <c r="H15" s="64"/>
      <c r="I15" s="65"/>
      <c r="J15" s="66"/>
    </row>
    <row r="16" spans="1:10" x14ac:dyDescent="0.2">
      <c r="A16" s="69" t="s">
        <v>114</v>
      </c>
      <c r="B16" s="1" t="s">
        <v>118</v>
      </c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69" t="s">
        <v>115</v>
      </c>
      <c r="B17" s="76" t="s">
        <v>119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69" t="s">
        <v>116</v>
      </c>
      <c r="B18" s="76" t="s">
        <v>119</v>
      </c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69" t="s">
        <v>117</v>
      </c>
      <c r="B19" s="76" t="s">
        <v>120</v>
      </c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75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4" t="s">
        <v>2</v>
      </c>
      <c r="B21" s="14" t="s">
        <v>3</v>
      </c>
      <c r="C21" s="43" t="s">
        <v>4</v>
      </c>
      <c r="D21" s="44"/>
      <c r="E21" s="43" t="s">
        <v>5</v>
      </c>
      <c r="F21" s="57"/>
      <c r="G21" s="44"/>
      <c r="H21" s="43" t="s">
        <v>6</v>
      </c>
      <c r="I21" s="44"/>
      <c r="J21" s="14" t="s">
        <v>7</v>
      </c>
    </row>
    <row r="22" spans="1:10" ht="195.75" customHeight="1" x14ac:dyDescent="0.2">
      <c r="A22" s="4">
        <v>72102900</v>
      </c>
      <c r="B22" s="11">
        <v>1</v>
      </c>
      <c r="C22" s="31" t="s">
        <v>57</v>
      </c>
      <c r="D22" s="32"/>
      <c r="E22" s="35" t="s">
        <v>109</v>
      </c>
      <c r="F22" s="36"/>
      <c r="G22" s="37"/>
      <c r="H22" s="33">
        <v>33813.910000000003</v>
      </c>
      <c r="I22" s="34"/>
      <c r="J22" s="10">
        <f t="shared" ref="J22" si="0">B22*H22</f>
        <v>33813.910000000003</v>
      </c>
    </row>
    <row r="23" spans="1:10" x14ac:dyDescent="0.2">
      <c r="A23" s="1"/>
      <c r="B23" s="1"/>
      <c r="C23" s="38"/>
      <c r="D23" s="38"/>
      <c r="E23" s="38"/>
      <c r="F23" s="38"/>
      <c r="G23" s="38"/>
      <c r="H23" s="39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5" t="s">
        <v>8</v>
      </c>
      <c r="J24" s="6">
        <f>SUM(J22:J23)</f>
        <v>33813.910000000003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7" t="s">
        <v>82</v>
      </c>
      <c r="J25" s="8">
        <f>J24*0.16</f>
        <v>5410.2256000000007</v>
      </c>
    </row>
    <row r="26" spans="1:10" x14ac:dyDescent="0.2">
      <c r="F26" s="1"/>
      <c r="G26" s="1"/>
      <c r="H26" s="1"/>
      <c r="I26" s="2" t="s">
        <v>7</v>
      </c>
      <c r="J26" s="9">
        <f>J24+J25</f>
        <v>39224.135600000001</v>
      </c>
    </row>
    <row r="27" spans="1:10" ht="16" thickBot="1" x14ac:dyDescent="0.25">
      <c r="F27" s="12"/>
      <c r="G27" s="12"/>
      <c r="H27" s="1"/>
      <c r="I27" s="1"/>
      <c r="J27" s="1"/>
    </row>
    <row r="28" spans="1:10" ht="16" thickBot="1" x14ac:dyDescent="0.25">
      <c r="A28" s="69" t="s">
        <v>121</v>
      </c>
      <c r="B28" s="77"/>
      <c r="C28" s="78"/>
      <c r="D28" s="78"/>
      <c r="E28" s="78"/>
      <c r="F28" s="78"/>
      <c r="G28" s="78"/>
      <c r="H28" s="78"/>
      <c r="I28" s="78"/>
      <c r="J28" s="79"/>
    </row>
  </sheetData>
  <mergeCells count="20">
    <mergeCell ref="B28:J28"/>
    <mergeCell ref="C22:D22"/>
    <mergeCell ref="H22:I22"/>
    <mergeCell ref="E22:G22"/>
    <mergeCell ref="C23:H23"/>
    <mergeCell ref="B7:J7"/>
    <mergeCell ref="C21:D21"/>
    <mergeCell ref="H21:I21"/>
    <mergeCell ref="B13:G13"/>
    <mergeCell ref="B14:G14"/>
    <mergeCell ref="B15:G15"/>
    <mergeCell ref="H8:J12"/>
    <mergeCell ref="E21:G21"/>
    <mergeCell ref="B12:G12"/>
    <mergeCell ref="H13:J15"/>
    <mergeCell ref="B4:E4"/>
    <mergeCell ref="H4:J4"/>
    <mergeCell ref="A9:A11"/>
    <mergeCell ref="B8:G8"/>
    <mergeCell ref="B9:G11"/>
  </mergeCells>
  <pageMargins left="0.7" right="0.7" top="0.75" bottom="0.75" header="0.3" footer="0.3"/>
  <pageSetup paperSize="9"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B12:G12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B13:G13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B14:G14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B15:G15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Hoja1!$C$26:$C$52</xm:f>
          </x14:formula1>
          <xm:sqref>C22:D22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opLeftCell="A32" workbookViewId="0">
      <selection activeCell="A50" sqref="A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83</v>
      </c>
      <c r="C37" t="s">
        <v>68</v>
      </c>
    </row>
    <row r="38" spans="1:3" x14ac:dyDescent="0.2">
      <c r="A38" t="s">
        <v>85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87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100</v>
      </c>
      <c r="C42" t="s">
        <v>73</v>
      </c>
    </row>
    <row r="43" spans="1:3" x14ac:dyDescent="0.2">
      <c r="A43" t="s">
        <v>86</v>
      </c>
      <c r="C43" t="s">
        <v>90</v>
      </c>
    </row>
    <row r="44" spans="1:3" x14ac:dyDescent="0.2">
      <c r="A44" t="s">
        <v>94</v>
      </c>
      <c r="C44" t="s">
        <v>84</v>
      </c>
    </row>
    <row r="45" spans="1:3" x14ac:dyDescent="0.2">
      <c r="A45" t="s">
        <v>95</v>
      </c>
      <c r="C45" t="s">
        <v>88</v>
      </c>
    </row>
    <row r="46" spans="1:3" x14ac:dyDescent="0.2">
      <c r="A46" t="s">
        <v>97</v>
      </c>
      <c r="C46" t="s">
        <v>89</v>
      </c>
    </row>
    <row r="47" spans="1:3" x14ac:dyDescent="0.2">
      <c r="A47" t="s">
        <v>98</v>
      </c>
      <c r="C47" t="s">
        <v>91</v>
      </c>
    </row>
    <row r="48" spans="1:3" x14ac:dyDescent="0.2">
      <c r="A48" t="s">
        <v>99</v>
      </c>
      <c r="C48" t="s">
        <v>92</v>
      </c>
    </row>
    <row r="49" spans="1:3" x14ac:dyDescent="0.2">
      <c r="A49" t="s">
        <v>104</v>
      </c>
      <c r="C49" t="s">
        <v>93</v>
      </c>
    </row>
    <row r="50" spans="1:3" x14ac:dyDescent="0.2">
      <c r="A50" t="s">
        <v>105</v>
      </c>
      <c r="C50" t="s">
        <v>101</v>
      </c>
    </row>
    <row r="51" spans="1:3" x14ac:dyDescent="0.2">
      <c r="C51" t="s">
        <v>102</v>
      </c>
    </row>
    <row r="52" spans="1:3" x14ac:dyDescent="0.2">
      <c r="C52" t="s">
        <v>103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PROFORMA SEIDCO IGM</vt:lpstr>
      <vt:lpstr>Hoja1</vt:lpstr>
      <vt:lpstr>'PROFORMA SEIDCO IGM'!Área_de_impresión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2026-03-02T18:01:09Z</dcterms:modified>
</cp:coreProperties>
</file>