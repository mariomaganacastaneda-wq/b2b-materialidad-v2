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nuevo cliente RRFD ABOGADOS/"/>
    </mc:Choice>
  </mc:AlternateContent>
  <xr:revisionPtr revIDLastSave="0" documentId="13_ncr:1_{912599CA-7A1A-6F4D-845E-DAAA9F1BCC2F}" xr6:coauthVersionLast="47" xr6:coauthVersionMax="47" xr10:uidLastSave="{00000000-0000-0000-0000-000000000000}"/>
  <bookViews>
    <workbookView xWindow="6140" yWindow="1240" windowWidth="20020" windowHeight="13780" xr2:uid="{762CF081-649B-4AFE-8560-FE8DA557DF30}"/>
  </bookViews>
  <sheets>
    <sheet name="MIMI RRFD ABOGADOS MKING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J23" i="1"/>
  <c r="J29" i="1" l="1"/>
  <c r="J30" i="1" l="1"/>
  <c r="J31" i="1" s="1"/>
</calcChain>
</file>

<file path=xl/sharedStrings.xml><?xml version="1.0" encoding="utf-8"?>
<sst xmlns="http://schemas.openxmlformats.org/spreadsheetml/2006/main" count="44" uniqueCount="41">
  <si>
    <t>Empresa que emite:</t>
  </si>
  <si>
    <t>TIPO DE COMPROBANTE</t>
  </si>
  <si>
    <t>INGRESO</t>
  </si>
  <si>
    <t>SOLUTIONS MIMI</t>
  </si>
  <si>
    <t>Cliente (Razon social):</t>
  </si>
  <si>
    <t>-se encuentra en el CIF.(Cliente o razon social completa, direccion fiscal y regimen fiscal)</t>
  </si>
  <si>
    <t>DIRECCION FISCAL:
(Completa tal cual
viene en CIF)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</si>
  <si>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</si>
  <si>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</si>
  <si>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</si>
  <si>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</si>
  <si>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</si>
  <si>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</si>
  <si>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</si>
  <si>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</si>
  <si>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</si>
  <si>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</si>
  <si>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</si>
  <si>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</si>
  <si>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</si>
  <si>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</si>
  <si>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</si>
  <si>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</si>
  <si>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</si>
  <si>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</si>
  <si>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RFC que emite:</t>
  </si>
  <si>
    <t>RFC CLIENTE  :</t>
  </si>
  <si>
    <t>PREFACTURA o TIMBRADO</t>
  </si>
  <si>
    <t>PREFACTURA</t>
  </si>
  <si>
    <t xml:space="preserve">REQUIERE COTIZACION (S/N) </t>
  </si>
  <si>
    <t>S</t>
  </si>
  <si>
    <t>REQUIRE CONTRATO (S/N)</t>
  </si>
  <si>
    <t xml:space="preserve">SE TIENE ANTICIPO (S/N) </t>
  </si>
  <si>
    <t>N</t>
  </si>
  <si>
    <t>HAY ORDEN DE COMPRA</t>
  </si>
  <si>
    <t>RRFD ABOGADOS, S.C.</t>
  </si>
  <si>
    <t>RAB2208263G5</t>
  </si>
  <si>
    <t>CARGO POR SERVICIOS DE MARKETING DIGITAL Y CONTENIDOS PARA MANEJO DE REDES SOCIALES , POR LOS MESES DE MARZO Y ABRIL DEL 2026</t>
  </si>
  <si>
    <t>SMI230426MZ7</t>
  </si>
  <si>
    <t>C.P.</t>
  </si>
  <si>
    <t>FUENTE DE LAS BURBUJAS NÚMERO 21, COLONIA LOMAS DEL CHAMIZAL C.P. 52780, HUIXQUILUCAN, 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</si>
</sst>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9C7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5" fillId="2" borderId="1" xfId="0" applyFont="1" applyFill="1" applyBorder="1"/>
    <xf numFmtId="4" fontId="5" fillId="2" borderId="1" xfId="0" applyNumberFormat="1" applyFont="1" applyFill="1" applyBorder="1"/>
    <xf numFmtId="166" fontId="0" fillId="0" borderId="0" xfId="0" applyNumberFormat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0" fillId="2" borderId="0" xfId="0" applyFill="1" applyAlignment="1">
      <alignment vertical="top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2" borderId="6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2" borderId="0" xfId="0" applyFont="1" applyFill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59766</xdr:colOff>
      <xdr:row>0</xdr:row>
      <xdr:rowOff>29883</xdr:rowOff>
    </xdr:from>
    <xdr:to>
      <xdr:col>5</xdr:col>
      <xdr:colOff>818476</xdr:colOff>
      <xdr:row>3</xdr:row>
      <xdr:rowOff>164352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6036BE-DCF6-A771-8150-55876547B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1766" y="29883"/>
          <a:ext cx="758710" cy="717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6E58-09D2-4F38-85E3-3F16FF6D2A27}">
  <sheetPr>
    <pageSetUpPr fitToPage="1"/>
  </sheetPr>
  <dimension ref="A1:L32"/>
  <sheetViews>
    <sheetView tabSelected="1" zoomScale="85" zoomScaleNormal="85" workbookViewId="0">
      <selection activeCell="J6" sqref="J6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B4" s="20"/>
      <c r="C4" s="20"/>
      <c r="D4" s="20"/>
      <c r="E4" s="20"/>
      <c r="F4" s="1"/>
      <c r="G4" s="4" t="s">
        <v>1</v>
      </c>
      <c r="H4" s="21" t="s">
        <v>2</v>
      </c>
      <c r="I4" s="21"/>
      <c r="J4" s="21"/>
    </row>
    <row r="5" spans="1:10" x14ac:dyDescent="0.2">
      <c r="A5" s="3" t="s">
        <v>0</v>
      </c>
      <c r="B5" s="2" t="s">
        <v>3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3" t="s">
        <v>25</v>
      </c>
      <c r="B6" s="2" t="s">
        <v>38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3" t="s">
        <v>4</v>
      </c>
      <c r="B7" s="22" t="s">
        <v>35</v>
      </c>
      <c r="C7" s="23"/>
      <c r="D7" s="23"/>
      <c r="E7" s="23"/>
      <c r="F7" s="23"/>
      <c r="G7" s="24"/>
      <c r="H7" s="42" t="s">
        <v>5</v>
      </c>
      <c r="I7" s="43"/>
      <c r="J7" s="44"/>
    </row>
    <row r="8" spans="1:10" ht="15" customHeight="1" x14ac:dyDescent="0.2">
      <c r="A8" s="4" t="s">
        <v>26</v>
      </c>
      <c r="B8" s="25" t="s">
        <v>36</v>
      </c>
      <c r="C8" s="26"/>
      <c r="D8" s="26"/>
      <c r="E8" s="26"/>
      <c r="F8" s="26"/>
      <c r="G8" s="27"/>
      <c r="H8" s="45"/>
      <c r="I8" s="46"/>
      <c r="J8" s="47"/>
    </row>
    <row r="9" spans="1:10" ht="15" customHeight="1" x14ac:dyDescent="0.2">
      <c r="A9" s="37" t="s">
        <v>6</v>
      </c>
      <c r="B9" s="64" t="s">
        <v>39</v>
      </c>
      <c r="C9" s="65">
        <v>52780</v>
      </c>
      <c r="D9" s="65"/>
      <c r="E9" s="65"/>
      <c r="F9" s="65"/>
      <c r="G9" s="59"/>
      <c r="H9" s="45"/>
      <c r="I9" s="46"/>
      <c r="J9" s="47"/>
    </row>
    <row r="10" spans="1:10" ht="41" customHeight="1" x14ac:dyDescent="0.2">
      <c r="A10" s="38"/>
      <c r="B10" s="40" t="s">
        <v>40</v>
      </c>
      <c r="C10" s="63"/>
      <c r="D10" s="63"/>
      <c r="E10" s="63"/>
      <c r="F10" s="63"/>
      <c r="G10" s="41"/>
      <c r="H10" s="45"/>
      <c r="I10" s="46"/>
      <c r="J10" s="47"/>
    </row>
    <row r="11" spans="1:10" x14ac:dyDescent="0.2">
      <c r="A11" s="39"/>
      <c r="B11" s="60"/>
      <c r="C11" s="61"/>
      <c r="D11" s="61"/>
      <c r="E11" s="61"/>
      <c r="F11" s="61"/>
      <c r="G11" s="62"/>
      <c r="H11" s="45"/>
      <c r="I11" s="46"/>
      <c r="J11" s="47"/>
    </row>
    <row r="12" spans="1:10" x14ac:dyDescent="0.2">
      <c r="A12" s="3" t="s">
        <v>7</v>
      </c>
      <c r="B12" s="25" t="s">
        <v>8</v>
      </c>
      <c r="C12" s="26"/>
      <c r="D12" s="26"/>
      <c r="E12" s="26"/>
      <c r="F12" s="26"/>
      <c r="G12" s="27"/>
      <c r="H12" s="48"/>
      <c r="I12" s="49"/>
      <c r="J12" s="50"/>
    </row>
    <row r="13" spans="1:10" x14ac:dyDescent="0.2">
      <c r="A13" s="5" t="s">
        <v>9</v>
      </c>
      <c r="B13" s="25" t="s">
        <v>10</v>
      </c>
      <c r="C13" s="26"/>
      <c r="D13" s="26"/>
      <c r="E13" s="26"/>
      <c r="F13" s="26"/>
      <c r="G13" s="27"/>
      <c r="H13" s="28" t="s">
        <v>11</v>
      </c>
      <c r="I13" s="29"/>
      <c r="J13" s="30"/>
    </row>
    <row r="14" spans="1:10" x14ac:dyDescent="0.2">
      <c r="A14" s="5" t="s">
        <v>12</v>
      </c>
      <c r="B14" s="25" t="s">
        <v>13</v>
      </c>
      <c r="C14" s="26"/>
      <c r="D14" s="26"/>
      <c r="E14" s="26"/>
      <c r="F14" s="26"/>
      <c r="G14" s="27"/>
      <c r="H14" s="31"/>
      <c r="I14" s="32"/>
      <c r="J14" s="33"/>
    </row>
    <row r="15" spans="1:10" x14ac:dyDescent="0.2">
      <c r="A15" s="5" t="s">
        <v>14</v>
      </c>
      <c r="B15" s="25" t="s">
        <v>15</v>
      </c>
      <c r="C15" s="26"/>
      <c r="D15" s="26"/>
      <c r="E15" s="26"/>
      <c r="F15" s="26"/>
      <c r="G15" s="27"/>
      <c r="H15" s="34"/>
      <c r="I15" s="35"/>
      <c r="J15" s="36"/>
    </row>
    <row r="16" spans="1:10" x14ac:dyDescent="0.2">
      <c r="A16" s="5" t="s">
        <v>27</v>
      </c>
      <c r="B16" s="9" t="s">
        <v>28</v>
      </c>
      <c r="C16" s="1"/>
      <c r="D16" s="1"/>
      <c r="E16" s="1"/>
      <c r="F16" s="1"/>
      <c r="G16" s="1"/>
      <c r="H16" s="1"/>
      <c r="I16" s="1"/>
      <c r="J16" s="1"/>
    </row>
    <row r="17" spans="1:12" x14ac:dyDescent="0.2">
      <c r="A17" s="5" t="s">
        <v>29</v>
      </c>
      <c r="B17" s="19" t="s">
        <v>30</v>
      </c>
      <c r="C17" s="1"/>
      <c r="D17" s="1"/>
      <c r="E17" s="1"/>
      <c r="F17" s="1"/>
      <c r="G17" s="1"/>
      <c r="H17" s="1"/>
      <c r="I17" s="1"/>
      <c r="J17" s="1"/>
    </row>
    <row r="18" spans="1:12" x14ac:dyDescent="0.2">
      <c r="A18" s="5" t="s">
        <v>31</v>
      </c>
      <c r="B18" s="19" t="s">
        <v>30</v>
      </c>
      <c r="C18" s="1"/>
      <c r="D18" s="1"/>
      <c r="E18" s="1"/>
      <c r="F18" s="1"/>
      <c r="G18" s="1"/>
      <c r="H18" s="1"/>
      <c r="I18" s="1"/>
      <c r="J18" s="1"/>
    </row>
    <row r="19" spans="1:12" x14ac:dyDescent="0.2">
      <c r="A19" s="5" t="s">
        <v>32</v>
      </c>
      <c r="B19" s="19" t="s">
        <v>33</v>
      </c>
      <c r="C19" s="1"/>
      <c r="D19" s="1"/>
      <c r="E19" s="1"/>
      <c r="F19" s="1"/>
      <c r="G19" s="1"/>
      <c r="H19" s="1"/>
      <c r="I19" s="1"/>
      <c r="J19" s="1"/>
    </row>
    <row r="20" spans="1:12" x14ac:dyDescent="0.2">
      <c r="A20" s="5" t="s">
        <v>34</v>
      </c>
      <c r="B20" s="19" t="s">
        <v>33</v>
      </c>
      <c r="C20" s="1"/>
      <c r="D20" s="1"/>
      <c r="E20" s="1"/>
      <c r="F20" s="1"/>
      <c r="G20" s="1"/>
      <c r="H20" s="1"/>
      <c r="I20" s="1"/>
      <c r="J20" s="1"/>
    </row>
    <row r="21" spans="1:12" x14ac:dyDescent="0.2">
      <c r="A21" s="1"/>
      <c r="B21" s="2"/>
      <c r="C21" s="1"/>
      <c r="D21" s="1"/>
      <c r="E21" s="1"/>
      <c r="F21" s="1"/>
      <c r="G21" s="1"/>
      <c r="H21" s="1"/>
      <c r="I21" s="1"/>
      <c r="J21" s="1"/>
    </row>
    <row r="22" spans="1:12" x14ac:dyDescent="0.2">
      <c r="A22" s="4" t="s">
        <v>16</v>
      </c>
      <c r="B22" s="4" t="s">
        <v>17</v>
      </c>
      <c r="C22" s="4" t="s">
        <v>18</v>
      </c>
      <c r="D22" s="4"/>
      <c r="E22" s="4" t="s">
        <v>19</v>
      </c>
      <c r="F22" s="4"/>
      <c r="G22" s="4"/>
      <c r="H22" s="4" t="s">
        <v>20</v>
      </c>
      <c r="I22" s="4"/>
      <c r="J22" s="4" t="s">
        <v>21</v>
      </c>
    </row>
    <row r="23" spans="1:12" ht="56" customHeight="1" x14ac:dyDescent="0.2">
      <c r="A23" s="6">
        <v>82101801</v>
      </c>
      <c r="B23" s="7">
        <v>1</v>
      </c>
      <c r="C23" s="51" t="s">
        <v>22</v>
      </c>
      <c r="D23" s="52"/>
      <c r="E23" s="53" t="s">
        <v>37</v>
      </c>
      <c r="F23" s="54"/>
      <c r="G23" s="55"/>
      <c r="H23" s="56">
        <v>60000</v>
      </c>
      <c r="I23" s="57"/>
      <c r="J23" s="8">
        <f t="shared" ref="J23:J27" si="0">B23*H23</f>
        <v>60000</v>
      </c>
    </row>
    <row r="24" spans="1:12" ht="14.5" customHeight="1" x14ac:dyDescent="0.2">
      <c r="A24" s="6"/>
      <c r="B24" s="7"/>
      <c r="C24" s="51"/>
      <c r="D24" s="52"/>
      <c r="E24" s="53"/>
      <c r="F24" s="54"/>
      <c r="G24" s="55"/>
      <c r="H24" s="56"/>
      <c r="I24" s="57"/>
      <c r="J24" s="8">
        <f t="shared" si="0"/>
        <v>0</v>
      </c>
    </row>
    <row r="25" spans="1:12" ht="14.5" customHeight="1" x14ac:dyDescent="0.2">
      <c r="A25" s="6"/>
      <c r="B25" s="7"/>
      <c r="C25" s="51"/>
      <c r="D25" s="52"/>
      <c r="E25" s="53"/>
      <c r="F25" s="54"/>
      <c r="G25" s="55"/>
      <c r="H25" s="56"/>
      <c r="I25" s="57"/>
      <c r="J25" s="8">
        <f t="shared" si="0"/>
        <v>0</v>
      </c>
    </row>
    <row r="26" spans="1:12" ht="14.5" customHeight="1" x14ac:dyDescent="0.2">
      <c r="A26" s="6"/>
      <c r="B26" s="7"/>
      <c r="C26" s="51"/>
      <c r="D26" s="52"/>
      <c r="E26" s="53"/>
      <c r="F26" s="54"/>
      <c r="G26" s="55"/>
      <c r="H26" s="56"/>
      <c r="I26" s="57"/>
      <c r="J26" s="8">
        <f t="shared" si="0"/>
        <v>0</v>
      </c>
    </row>
    <row r="27" spans="1:12" ht="14.5" customHeight="1" x14ac:dyDescent="0.2">
      <c r="A27" s="6"/>
      <c r="B27" s="7"/>
      <c r="C27" s="51"/>
      <c r="D27" s="52"/>
      <c r="E27" s="53"/>
      <c r="F27" s="54"/>
      <c r="G27" s="55"/>
      <c r="H27" s="56"/>
      <c r="I27" s="57"/>
      <c r="J27" s="8">
        <f t="shared" si="0"/>
        <v>0</v>
      </c>
    </row>
    <row r="28" spans="1:12" x14ac:dyDescent="0.2">
      <c r="A28" s="1"/>
      <c r="B28" s="1"/>
      <c r="C28" s="58"/>
      <c r="D28" s="58"/>
      <c r="E28" s="58"/>
      <c r="F28" s="58"/>
      <c r="G28" s="58"/>
      <c r="H28" s="58"/>
      <c r="I28" s="1"/>
      <c r="J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9" t="s">
        <v>23</v>
      </c>
      <c r="J29" s="10">
        <f>SUM(J23:J28)</f>
        <v>60000</v>
      </c>
      <c r="K29" s="11"/>
      <c r="L29" s="12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3" t="s">
        <v>24</v>
      </c>
      <c r="J30" s="14">
        <f>J29*0.16</f>
        <v>9600</v>
      </c>
      <c r="L30" s="15"/>
    </row>
    <row r="31" spans="1:12" x14ac:dyDescent="0.2">
      <c r="F31" s="1"/>
      <c r="G31" s="1"/>
      <c r="H31" s="1"/>
      <c r="I31" s="16" t="s">
        <v>21</v>
      </c>
      <c r="J31" s="17">
        <f>J29+J30</f>
        <v>69600</v>
      </c>
    </row>
    <row r="32" spans="1:12" x14ac:dyDescent="0.2">
      <c r="F32" s="18"/>
      <c r="G32" s="18"/>
      <c r="H32" s="1"/>
      <c r="I32" s="1"/>
      <c r="J32" s="1"/>
    </row>
  </sheetData>
  <mergeCells count="28">
    <mergeCell ref="C28:H28"/>
    <mergeCell ref="C25:D25"/>
    <mergeCell ref="E25:G25"/>
    <mergeCell ref="H25:I25"/>
    <mergeCell ref="C26:D26"/>
    <mergeCell ref="E26:G26"/>
    <mergeCell ref="H26:I26"/>
    <mergeCell ref="C24:D24"/>
    <mergeCell ref="E24:G24"/>
    <mergeCell ref="H24:I24"/>
    <mergeCell ref="C27:D27"/>
    <mergeCell ref="E27:G27"/>
    <mergeCell ref="H27:I27"/>
    <mergeCell ref="A9:A11"/>
    <mergeCell ref="B12:G12"/>
    <mergeCell ref="H7:J12"/>
    <mergeCell ref="C23:D23"/>
    <mergeCell ref="E23:G23"/>
    <mergeCell ref="H23:I23"/>
    <mergeCell ref="B10:G10"/>
    <mergeCell ref="B4:E4"/>
    <mergeCell ref="H4:J4"/>
    <mergeCell ref="B8:G8"/>
    <mergeCell ref="B7:G7"/>
    <mergeCell ref="B13:G13"/>
    <mergeCell ref="H13:J15"/>
    <mergeCell ref="B14:G14"/>
    <mergeCell ref="B15:G15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5:G15" xr:uid="{C9D4FB35-016B-4A74-8B00-6969A30D0421}">
      <formula1>INDIRECT(++$B$14)</formula1>
    </dataValidation>
  </dataValidations>
  <pageMargins left="0.70866141732283472" right="0.70866141732283472" top="0.74803149606299213" bottom="0.74803149606299213" header="0.31496062992125984" footer="0.31496062992125984"/>
  <pageSetup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MIMI RRFD ABOGADOS MKING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2026-01-12T19:57:34Z</dcterms:created>
  <dcterms:modified xsi:type="dcterms:W3CDTF">2026-03-04T20:48:48Z</dcterms:modified>
</cp:coreProperties>
</file>