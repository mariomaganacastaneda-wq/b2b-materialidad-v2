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7"/>
  <workbookPr autoCompressPictures="0"/>
  <mc:AlternateContent xmlns:mc="http://schemas.openxmlformats.org/markup-compatibility/2006">
    <mc:Choice Requires="x15">
      <x15ac:absPath xmlns:x15ac="http://schemas.microsoft.com/office/spreadsheetml/2010/11/ac" url="/Users/ricardo/Documents/0 Descargas apple/solicitud de 10 factuas a seidco mundo E/"/>
    </mc:Choice>
  </mc:AlternateContent>
  <xr:revisionPtr revIDLastSave="0" documentId="13_ncr:1_{7F9C1D72-2106-6541-86E2-2B2113A951FB}" xr6:coauthVersionLast="47" xr6:coauthVersionMax="47" xr10:uidLastSave="{00000000-0000-0000-0000-000000000000}"/>
  <bookViews>
    <workbookView xWindow="0" yWindow="500" windowWidth="24660" windowHeight="16140" xr2:uid="{00000000-000D-0000-FFFF-FFFF00000000}"/>
  </bookViews>
  <sheets>
    <sheet name="8VA FAC " sheetId="6" r:id="rId1"/>
    <sheet name="Hoja1" sheetId="5"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K32" i="6" l="1"/>
  <c r="K31" i="6"/>
  <c r="K30" i="6"/>
  <c r="K29" i="6"/>
  <c r="K28" i="6"/>
  <c r="K27" i="6"/>
  <c r="K26" i="6"/>
  <c r="K25" i="6"/>
  <c r="K24" i="6"/>
  <c r="K23" i="6"/>
  <c r="K22" i="6"/>
  <c r="K21" i="6"/>
  <c r="K39" i="6" l="1"/>
  <c r="K38" i="6"/>
  <c r="K37" i="6"/>
  <c r="K36" i="6"/>
  <c r="K35" i="6"/>
  <c r="K34" i="6"/>
  <c r="K33" i="6"/>
  <c r="K20" i="6"/>
  <c r="K41" i="6" l="1"/>
  <c r="K42" i="6" s="1"/>
  <c r="K43" i="6" s="1"/>
</calcChain>
</file>

<file path=xl/sharedStrings.xml><?xml version="1.0" encoding="utf-8"?>
<sst xmlns="http://schemas.openxmlformats.org/spreadsheetml/2006/main" count="148" uniqueCount="130">
  <si>
    <t>FORMA DE PAGO</t>
  </si>
  <si>
    <t>METODO DE PAGO</t>
  </si>
  <si>
    <t>CLAVE DEL PRODUCTO</t>
  </si>
  <si>
    <t>CANTIDAD</t>
  </si>
  <si>
    <t>UNIDAD</t>
  </si>
  <si>
    <t>DESCRIPCION</t>
  </si>
  <si>
    <t>Precio Unitario</t>
  </si>
  <si>
    <t>Total</t>
  </si>
  <si>
    <t>Subtotal</t>
  </si>
  <si>
    <t>TIPO DE COMPROBANTE</t>
  </si>
  <si>
    <t>INGRESO</t>
  </si>
  <si>
    <t>Empresa que emite:</t>
  </si>
  <si>
    <t>NEOCONSTRUYENDO</t>
  </si>
  <si>
    <t>PROMOSERVICIOS</t>
  </si>
  <si>
    <t>KUNEM</t>
  </si>
  <si>
    <t>Empresas</t>
  </si>
  <si>
    <t>601-General de Ley Personas Morales</t>
  </si>
  <si>
    <t>603-Personas Morales con Fines no Lucrativos</t>
  </si>
  <si>
    <t>605- Sueldos y Salarios e Ingresos Asimilados a Salarios</t>
  </si>
  <si>
    <t>607-Régimen de Enajenación o Adquisición de Bienes</t>
  </si>
  <si>
    <t>606-Arrendamiento</t>
  </si>
  <si>
    <t>608-Demás ingresos</t>
  </si>
  <si>
    <t>609-Consolidación</t>
  </si>
  <si>
    <t>610-Residentes en el Extranjero sin Establecimiento Permanente en México</t>
  </si>
  <si>
    <t>611- Ingresos por Dividendos (socios y accionistas)</t>
  </si>
  <si>
    <t>612- Personas Físicas con Actividades Empresariales y Profesionales</t>
  </si>
  <si>
    <t>614- Ingresos por intereses</t>
  </si>
  <si>
    <t>615-Régimen de los ingresos por obtención de premios</t>
  </si>
  <si>
    <t>616- Sin obligaciones fiscales</t>
  </si>
  <si>
    <t>620- Sociedades Cooperativas de Producción que optan por diferir sus ingresos</t>
  </si>
  <si>
    <t>621- Incorporación Fiscal</t>
  </si>
  <si>
    <t>622-Actividades Agrícolas, Ganaderas, Silvícolas y Pesqueras</t>
  </si>
  <si>
    <t>623- Opcional para Grupos de Sociedades</t>
  </si>
  <si>
    <t>624-Coordinados</t>
  </si>
  <si>
    <t>625-Régimen de las Actividades Empresariales con ingresos a través de Plataformas Tecnológicas</t>
  </si>
  <si>
    <t>626-Régimen Simplificado de Confianza</t>
  </si>
  <si>
    <t>628-Hidrocarburos</t>
  </si>
  <si>
    <t>629-De los Regímenes Fiscales Preferentes y de las Empresas Multinacionales</t>
  </si>
  <si>
    <t>630-Enajenación de acciones en bolsa de valores</t>
  </si>
  <si>
    <t>Regimen fiscal</t>
  </si>
  <si>
    <t>G01-ADQUISICION DE MERCANCIAS</t>
  </si>
  <si>
    <t>G03-GASTOS EN GENERAL</t>
  </si>
  <si>
    <t>I01 -CONSTRUCCIONES</t>
  </si>
  <si>
    <t>I02 - MOBILIARIO Y EQUIPO DE OFICINA POR INVERSION</t>
  </si>
  <si>
    <t>I03- EQUIPO DE TRANSPORTE</t>
  </si>
  <si>
    <t>I04- EQUIPO DE COMPUTO Y ACCESORIOS</t>
  </si>
  <si>
    <t>I05- DADOS, TROQUELES, MOLDES, MATRICES Y HERRAMIENTA</t>
  </si>
  <si>
    <t>I06- COMUNICACIONES SATELITALES</t>
  </si>
  <si>
    <t>I08- OTRA MAQUINARIA Y EQUIPO</t>
  </si>
  <si>
    <t>S01- SIN EFECTOS FISCALES</t>
  </si>
  <si>
    <t>USO DE CFDI</t>
  </si>
  <si>
    <t>01-EFECTIVO</t>
  </si>
  <si>
    <t>02- CHEQUE NOMINATIVO</t>
  </si>
  <si>
    <t>03- TRANSFERENCIA ELECTRONICA DE FONDOS</t>
  </si>
  <si>
    <t>99- POR DEFINIR</t>
  </si>
  <si>
    <t>PUE- PAGO EN UNA SOLA EXHIBICION</t>
  </si>
  <si>
    <t>PPD-PAGO EN PARCIALIDADES O DIFERIDO</t>
  </si>
  <si>
    <t>E48-SERVICIO</t>
  </si>
  <si>
    <t>H87- PIEZA</t>
  </si>
  <si>
    <t>MTR- METRO</t>
  </si>
  <si>
    <t>MTK- MT2</t>
  </si>
  <si>
    <t>MTQ-MT3</t>
  </si>
  <si>
    <t>LTR-LITRO</t>
  </si>
  <si>
    <t>KT-KIT</t>
  </si>
  <si>
    <t>SET-JUEGO</t>
  </si>
  <si>
    <t>NT- TONELADA</t>
  </si>
  <si>
    <t>KGM-KILOGRAMO</t>
  </si>
  <si>
    <t>XBX-CAJA</t>
  </si>
  <si>
    <t>11-EQUIPOS</t>
  </si>
  <si>
    <t>XPK-PAQUETE</t>
  </si>
  <si>
    <t>PR-PAR</t>
  </si>
  <si>
    <t>DAY-DIA</t>
  </si>
  <si>
    <t>ACT-ACTIVIDAD</t>
  </si>
  <si>
    <t>LO-LOTE</t>
  </si>
  <si>
    <t>TERREL</t>
  </si>
  <si>
    <t>- Todos los campos son obligatorios</t>
  </si>
  <si>
    <t>DIRECCION FISCAL:</t>
  </si>
  <si>
    <t>REGIMEN FISCAL:</t>
  </si>
  <si>
    <t>USO DEL CFD:</t>
  </si>
  <si>
    <t>FORMA DE PAGO:</t>
  </si>
  <si>
    <t>METODO DE PAGO:</t>
  </si>
  <si>
    <t>-se encuentra en el CIF.(Cliente o razon social completa, direccion fiscal y regimen fiscal)</t>
  </si>
  <si>
    <t>Cliente (Razon social):</t>
  </si>
  <si>
    <t>IVA16%</t>
  </si>
  <si>
    <t>KO INTERNATIONAL TRADING</t>
  </si>
  <si>
    <t>XSA-SACO</t>
  </si>
  <si>
    <t>COMERCIALIZADORA UNIVERSAL LATAM</t>
  </si>
  <si>
    <t>LARSON SERVICES</t>
  </si>
  <si>
    <t>SERVINTE SERVICIOS INTEGRALES</t>
  </si>
  <si>
    <t>E27-DOSIS</t>
  </si>
  <si>
    <t>LM-METRO LINEAL</t>
  </si>
  <si>
    <t>STN-TONELADA O TONELADA CARGA</t>
  </si>
  <si>
    <t>A75-TONELADA DE CARGA</t>
  </si>
  <si>
    <t>26-TONELADA REAL</t>
  </si>
  <si>
    <t>XRO-ROLLO</t>
  </si>
  <si>
    <t>MANUEL AVILA CAMACHO 5, TORRE C, PISO 22, COLONIA LOMAS DE SOTELO, MUNICIPIO  NAUCALPAN DE
JUAREZ,  ESTADO DE MEXICO, C.P. 53390</t>
  </si>
  <si>
    <t>99- Por Definir</t>
  </si>
  <si>
    <t>PPD- Pago en parcialidades o Por Diferido</t>
  </si>
  <si>
    <t>LT FASHION</t>
  </si>
  <si>
    <t>LFA140313H67</t>
  </si>
  <si>
    <t>Adeudo 2025 ON O Coyoacán- Demolición de pieza existente con medidas de 60 x 60 cm, adhesivo dañado y nivelante suelto, ocasionado por el tiempo hasta llegar a superficie solida (losa), por medios manuales y mecánicos.</t>
  </si>
  <si>
    <t>Adeudo 2025 ON O Coyoacán - Cambio de losetas dañadas en área de venta con medidas de 60 x 60 cm marca LAMOSA Modelo Nori-onix o similar en calidad, incluye: adhesivo secado rápido Marca BEXEL tipo Solución total o similar en calidad considerando un espesor de 2.50 cm para asentar pieza, junta con arena marca CREST color ultramar negro plata, incluye: herramientas de mano, equipos de corte y mano de obra para colocación.</t>
  </si>
  <si>
    <t>Adeudo 2025 ON O Coyoacán - Nivelación con concreto f’c=100 kg/cm² para asentar piezas de piso con un espesor promedio de 5 cm.</t>
  </si>
  <si>
    <t>Adeudo 2025 ON O Coyoacán - Retiro de escombro producto de la demolición de piezas de piso, adhesivo y nivelante, realizando encostalado y retiro de la obra por pasillos de servicio hasta área de descarga en patio de maniobras hasta una distancia de 100 m.</t>
  </si>
  <si>
    <t>Adeudo 2025 ON O Coyoacán - Suministro y colocación de cerraduras en probador con sistema de seguridad análogo Marca YALE Modelo EIFFEL o similar en calidad, tipo manija Recta Tubular, Níquel Satín, tipo recámara; mecanismo cilíndrico, seguridad grado 3, de 5 pernos y 3 llaves, para uso en puertas de 35 a 45 mm de espesor uso interior o exterior, incluye retiro sin recuperación de chapa existente, ajuste de barrenos para colocación de chapa nueva, relleno con silicón blanco marca DOW CORNING o similar en calidad, ajuste de contra para cierre correcto, herramientas, equipo y mano de obra.</t>
  </si>
  <si>
    <t>Adeudo 2025 ON O Coyoacán - Ajuste de puerta de probador para corregir colganteo por uso, ajuste de tornillería, colocación de remaches y lubricación de bisagras, en marco de soporte y en cerradura</t>
  </si>
  <si>
    <t>Adeudo 2025 ON O Coyoacán - Pintura en puerta de madera de acceso de piso de venta a bodega en color azul similar a existente, con esmalte base agua Marca COMEX de secado rápido, lijando superficie previamente, encapsulando el área de trabajo con protectores de polietileno para evitar salpicaduras, se enmascarillará cubre golpes de lámina de acero inoxidable Cerraduras y muros</t>
  </si>
  <si>
    <t>Adeudo 2025 ON O Coyoacán - Cambio de cerraduras en puerta de acceso de pasillo de servicio, con sistema de seguridad análogo Manija Recta Tubular o similar Marca Tesa Assa Abloy modelo Eifel uso rudo, acero inoxidable, Recámara; mecanismo cilíndrico T5, 6 juegos de llaves, para puerta de 35 a 45 mm de madera o metal, botón al interior y llave al exterior</t>
  </si>
  <si>
    <t>Adeudo 2025 ON O Coyoacán - Colocación de lámina de acero inoxidable cal. 22 en perforación de chapa anterior con medida de 20 x 7.50 cm fijada con sellador acrílico siliconizado y pijas en las esquinas.</t>
  </si>
  <si>
    <t>Adeudo 2025 ON O Coyoacán - Mantenimiento general a escalera tipo cotterman, consistente en ajuste de tornillería, aplicación de lubricante en mecanismos y reposición de tornillo faltante.</t>
  </si>
  <si>
    <t xml:space="preserve">Adeudo 2025 ON O Coyoacán - Cambio de sensor de presencia en pared PIR y switch de encendido/apagado Marca Leviton o similar en calidad para 1800 w en sanitarios </t>
  </si>
  <si>
    <t>Adeudo 2025 ON O Coyoacán - Cambio de luminario tipo TUBO LED 8.5W entrada tipo base G5, 120 V./60 Hz, 850 lúmenes y 4000° k Marca Tecno lite o similar en calidad, en piso de venta, a una altura de 6.00 m empleando escalera de tijera.</t>
  </si>
  <si>
    <t>Adeudo 2025 ON O Coyoacán - Cambio de iluminación fundida en espejo de probador en luz neutra tipo regleta LED 8.5W entrada tipo A19, 120 V./60 Hz, 850 lúmenes y 4000° k Marca Tecno lite o similar en calidad</t>
  </si>
  <si>
    <t>Régimen de Opcional para Grupos de Sociedades</t>
  </si>
  <si>
    <t>EMPRESA EMISORA</t>
  </si>
  <si>
    <t>SEIDCO servicios de ingenieria y administracion integral</t>
  </si>
  <si>
    <t>RFC CLIENTE   :</t>
  </si>
  <si>
    <t xml:space="preserve">SSI101213VD1 </t>
  </si>
  <si>
    <t>RFC Emisora</t>
  </si>
  <si>
    <t xml:space="preserve">NOTA de factura </t>
  </si>
  <si>
    <t>Todos los conceptos son Adeudos 2025 ON Coyoacán</t>
  </si>
  <si>
    <t>PREFACTURA o TIMBRADO</t>
  </si>
  <si>
    <t>PREFACTURA</t>
  </si>
  <si>
    <t xml:space="preserve">REQUIERE COTIZACION (S/N) </t>
  </si>
  <si>
    <t>REQUIRE CONTRATO (S/N)</t>
  </si>
  <si>
    <t xml:space="preserve">SE TIENE ANTICIPO (S/N) </t>
  </si>
  <si>
    <t>MONTO DE ANTICIPO</t>
  </si>
  <si>
    <t>NUM</t>
  </si>
  <si>
    <t>S</t>
  </si>
  <si>
    <t>pesos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</si>
</sst>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80A]d&quot; de &quot;mmmm&quot; de &quot;yyyy;@"/>
  </numFmts>
  <fonts count="8">
    <font>
      <sz val="11"/>
      <color theme="1"/>
      <name val="Calibri"/>
      <family val="2"/>
      <scheme val="minor"/>
    </font>
    <font>
      <b/>
      <sz val="11"/>
      <color theme="1"/>
      <name val="Calibri"/>
      <family val="2"/>
      <scheme val="minor"/>
    </font>
    <font>
      <i/>
      <sz val="11"/>
      <color theme="1"/>
      <name val="Calibri"/>
      <family val="2"/>
      <scheme val="minor"/>
    </font>
    <font>
      <sz val="10"/>
      <color theme="1"/>
      <name val="Calibri"/>
      <family val="2"/>
      <scheme val="minor"/>
    </font>
    <font>
      <sz val="9"/>
      <color theme="1"/>
      <name val="Calibri"/>
      <family val="2"/>
      <scheme val="minor"/>
    </font>
    <font>
      <u/>
      <sz val="11"/>
      <color theme="10"/>
      <name val="Calibri"/>
      <family val="2"/>
      <scheme val="minor"/>
    </font>
    <font>
      <sz val="11"/>
      <color rgb="FF333333"/>
      <name val="SegoeUINegrita"/>
    </font>
    <font>
      <sz val="11"/>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rgb="FF29C7FF"/>
        <bgColor indexed="64"/>
      </patternFill>
    </fill>
    <fill>
      <patternFill patternType="solid">
        <fgColor theme="4" tint="0.39997558519241921"/>
        <bgColor indexed="64"/>
      </patternFill>
    </fill>
    <fill>
      <patternFill patternType="solid">
        <fgColor theme="9" tint="0.79998168889431442"/>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style="thin">
        <color auto="1"/>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0" fontId="5" fillId="0" borderId="0" applyNumberFormat="0" applyFill="0" applyBorder="0" applyAlignment="0" applyProtection="0"/>
    <xf numFmtId="43" fontId="7" fillId="0" borderId="0" applyFont="0" applyFill="0" applyBorder="0" applyAlignment="0" applyProtection="0"/>
  </cellStyleXfs>
  <cellXfs count="85">
    <xf numFmtId="0" fontId="0" fillId="0" borderId="0" xfId="0"/>
    <xf numFmtId="0" fontId="0" fillId="2" borderId="0" xfId="0" applyFill="1"/>
    <xf numFmtId="0" fontId="1" fillId="2" borderId="1" xfId="0" applyFont="1" applyFill="1" applyBorder="1"/>
    <xf numFmtId="0" fontId="1" fillId="2" borderId="0" xfId="0" applyFont="1" applyFill="1"/>
    <xf numFmtId="0" fontId="0" fillId="2" borderId="1" xfId="0" applyFill="1" applyBorder="1" applyAlignment="1">
      <alignment horizontal="center" vertical="center" wrapText="1"/>
    </xf>
    <xf numFmtId="0" fontId="0" fillId="2" borderId="1" xfId="0" applyFill="1" applyBorder="1"/>
    <xf numFmtId="4" fontId="0" fillId="2" borderId="1" xfId="0" applyNumberFormat="1" applyFill="1" applyBorder="1"/>
    <xf numFmtId="0" fontId="2" fillId="2" borderId="1" xfId="0" applyFont="1" applyFill="1" applyBorder="1"/>
    <xf numFmtId="4" fontId="2" fillId="2" borderId="1" xfId="0" applyNumberFormat="1" applyFont="1" applyFill="1" applyBorder="1"/>
    <xf numFmtId="4" fontId="1" fillId="2" borderId="1" xfId="0" applyNumberFormat="1" applyFont="1" applyFill="1" applyBorder="1"/>
    <xf numFmtId="4" fontId="0" fillId="2" borderId="4" xfId="0" applyNumberFormat="1" applyFill="1" applyBorder="1" applyAlignment="1">
      <alignment vertical="center" wrapText="1"/>
    </xf>
    <xf numFmtId="0" fontId="0" fillId="2" borderId="2" xfId="0" applyFill="1" applyBorder="1" applyAlignment="1">
      <alignment horizontal="center" vertical="center" wrapText="1"/>
    </xf>
    <xf numFmtId="0" fontId="0" fillId="2" borderId="0" xfId="0" applyFill="1" applyAlignment="1">
      <alignment vertical="top"/>
    </xf>
    <xf numFmtId="0" fontId="1" fillId="3" borderId="1" xfId="0" applyFont="1" applyFill="1" applyBorder="1"/>
    <xf numFmtId="0" fontId="1" fillId="4" borderId="1" xfId="0" applyFont="1" applyFill="1" applyBorder="1"/>
    <xf numFmtId="0" fontId="1" fillId="4" borderId="2" xfId="0" applyFont="1" applyFill="1" applyBorder="1"/>
    <xf numFmtId="0" fontId="1" fillId="4" borderId="1" xfId="0" applyFont="1" applyFill="1" applyBorder="1" applyAlignment="1">
      <alignment vertical="top"/>
    </xf>
    <xf numFmtId="0" fontId="1" fillId="5" borderId="1" xfId="0" applyFont="1" applyFill="1" applyBorder="1" applyAlignment="1">
      <alignment horizontal="center" vertical="center"/>
    </xf>
    <xf numFmtId="4" fontId="0" fillId="2" borderId="2" xfId="0" applyNumberFormat="1" applyFill="1" applyBorder="1" applyAlignment="1">
      <alignment horizontal="center" vertical="center" wrapText="1"/>
    </xf>
    <xf numFmtId="4" fontId="0" fillId="2" borderId="4" xfId="0" applyNumberFormat="1" applyFill="1" applyBorder="1" applyAlignment="1">
      <alignment horizontal="center" vertical="center" wrapText="1"/>
    </xf>
    <xf numFmtId="0" fontId="4" fillId="2" borderId="7" xfId="0" applyFont="1" applyFill="1" applyBorder="1"/>
    <xf numFmtId="0" fontId="0" fillId="2" borderId="5" xfId="0" applyFill="1" applyBorder="1"/>
    <xf numFmtId="0" fontId="0" fillId="2" borderId="8" xfId="0" applyFill="1" applyBorder="1"/>
    <xf numFmtId="0" fontId="0" fillId="2" borderId="6" xfId="0" applyFill="1" applyBorder="1" applyAlignment="1">
      <alignment vertical="top"/>
    </xf>
    <xf numFmtId="0" fontId="0" fillId="2" borderId="11" xfId="0" applyFill="1" applyBorder="1" applyAlignment="1">
      <alignment vertical="top"/>
    </xf>
    <xf numFmtId="0" fontId="5" fillId="2" borderId="10" xfId="1" applyFill="1" applyBorder="1"/>
    <xf numFmtId="0" fontId="6" fillId="0" borderId="0" xfId="0" applyFont="1"/>
    <xf numFmtId="0" fontId="0" fillId="6" borderId="0" xfId="0" applyFill="1"/>
    <xf numFmtId="0" fontId="0" fillId="0" borderId="1" xfId="0" applyBorder="1" applyAlignment="1">
      <alignment horizontal="center" vertical="center"/>
    </xf>
    <xf numFmtId="0" fontId="0" fillId="0" borderId="13" xfId="0" applyBorder="1" applyAlignment="1">
      <alignment horizontal="left"/>
    </xf>
    <xf numFmtId="0" fontId="0" fillId="0" borderId="14" xfId="0" applyBorder="1" applyAlignment="1">
      <alignment horizontal="left"/>
    </xf>
    <xf numFmtId="0" fontId="0" fillId="0" borderId="15" xfId="0" applyBorder="1" applyAlignment="1">
      <alignment horizontal="left"/>
    </xf>
    <xf numFmtId="0" fontId="1" fillId="4" borderId="5" xfId="0" applyFont="1" applyFill="1" applyBorder="1" applyAlignment="1">
      <alignment horizontal="left" vertical="center"/>
    </xf>
    <xf numFmtId="0" fontId="1" fillId="4" borderId="0" xfId="0" applyFont="1" applyFill="1" applyAlignment="1">
      <alignment horizontal="left" vertical="center"/>
    </xf>
    <xf numFmtId="0" fontId="1" fillId="4" borderId="6" xfId="0" applyFont="1" applyFill="1" applyBorder="1" applyAlignment="1">
      <alignment horizontal="left" vertical="center"/>
    </xf>
    <xf numFmtId="0" fontId="3" fillId="2" borderId="7"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12"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2" xfId="0" applyFill="1" applyBorder="1"/>
    <xf numFmtId="0" fontId="0" fillId="2" borderId="3" xfId="0" applyFill="1" applyBorder="1"/>
    <xf numFmtId="0" fontId="0" fillId="2" borderId="4" xfId="0" applyFill="1" applyBorder="1"/>
    <xf numFmtId="164" fontId="0" fillId="2" borderId="1" xfId="0" applyNumberFormat="1" applyFill="1" applyBorder="1"/>
    <xf numFmtId="0" fontId="0" fillId="2" borderId="9" xfId="0" applyFill="1" applyBorder="1" applyAlignment="1">
      <alignment horizontal="center"/>
    </xf>
    <xf numFmtId="0" fontId="0" fillId="2" borderId="0" xfId="0" applyFill="1" applyAlignment="1">
      <alignment horizontal="center"/>
    </xf>
    <xf numFmtId="0" fontId="0" fillId="2" borderId="12" xfId="0" applyFill="1" applyBorder="1" applyAlignment="1">
      <alignment horizontal="center"/>
    </xf>
    <xf numFmtId="49" fontId="4" fillId="0" borderId="7"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9" xfId="0" applyNumberFormat="1" applyFont="1" applyBorder="1" applyAlignment="1">
      <alignment horizontal="center" vertical="center" wrapText="1"/>
    </xf>
    <xf numFmtId="49" fontId="4" fillId="0" borderId="0" xfId="0" applyNumberFormat="1" applyFont="1" applyAlignment="1">
      <alignment horizontal="center" vertical="center" wrapText="1"/>
    </xf>
    <xf numFmtId="49" fontId="4" fillId="0" borderId="12"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6"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4" fillId="2" borderId="7" xfId="0" applyNumberFormat="1" applyFont="1" applyFill="1" applyBorder="1" applyAlignment="1">
      <alignment horizontal="center" vertical="center" wrapText="1"/>
    </xf>
    <xf numFmtId="49" fontId="4" fillId="2" borderId="5" xfId="0" applyNumberFormat="1" applyFont="1" applyFill="1" applyBorder="1" applyAlignment="1">
      <alignment horizontal="center" vertical="center" wrapText="1"/>
    </xf>
    <xf numFmtId="49" fontId="4" fillId="2" borderId="8" xfId="0" applyNumberFormat="1" applyFont="1" applyFill="1" applyBorder="1" applyAlignment="1">
      <alignment horizontal="center" vertical="center" wrapText="1"/>
    </xf>
    <xf numFmtId="49" fontId="4" fillId="2" borderId="9" xfId="0" applyNumberFormat="1" applyFont="1" applyFill="1" applyBorder="1" applyAlignment="1">
      <alignment horizontal="center" vertical="center" wrapText="1"/>
    </xf>
    <xf numFmtId="49" fontId="4" fillId="2" borderId="0" xfId="0" applyNumberFormat="1" applyFont="1" applyFill="1" applyAlignment="1">
      <alignment horizontal="center" vertical="center" wrapText="1"/>
    </xf>
    <xf numFmtId="49" fontId="4" fillId="2" borderId="12"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6" xfId="0" applyNumberFormat="1" applyFont="1" applyFill="1" applyBorder="1" applyAlignment="1">
      <alignment horizontal="center" vertical="center" wrapText="1"/>
    </xf>
    <xf numFmtId="49" fontId="4" fillId="2" borderId="11" xfId="0" applyNumberFormat="1" applyFont="1" applyFill="1" applyBorder="1" applyAlignment="1">
      <alignment horizontal="center" vertical="center" wrapText="1"/>
    </xf>
    <xf numFmtId="0" fontId="1" fillId="5" borderId="2" xfId="0" applyFont="1" applyFill="1" applyBorder="1" applyAlignment="1">
      <alignment horizontal="center" vertical="center"/>
    </xf>
    <xf numFmtId="0" fontId="1" fillId="5" borderId="4" xfId="0" applyFont="1" applyFill="1" applyBorder="1" applyAlignment="1">
      <alignment horizontal="center" vertical="center"/>
    </xf>
    <xf numFmtId="0" fontId="1" fillId="5" borderId="3" xfId="0" applyFont="1" applyFill="1" applyBorder="1" applyAlignment="1">
      <alignment horizontal="center" vertical="center"/>
    </xf>
    <xf numFmtId="0" fontId="0" fillId="2" borderId="2" xfId="0" applyFill="1" applyBorder="1" applyAlignment="1">
      <alignment horizontal="center" vertical="center"/>
    </xf>
    <xf numFmtId="0" fontId="0" fillId="2" borderId="4" xfId="0" applyFill="1" applyBorder="1" applyAlignment="1">
      <alignment horizontal="center" vertical="center"/>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4" fontId="0" fillId="2" borderId="2" xfId="0" applyNumberFormat="1" applyFill="1" applyBorder="1" applyAlignment="1">
      <alignment horizontal="center" vertical="center" wrapText="1"/>
    </xf>
    <xf numFmtId="4" fontId="0" fillId="2" borderId="4" xfId="0" applyNumberFormat="1" applyFill="1" applyBorder="1" applyAlignment="1">
      <alignment horizontal="center" vertical="center" wrapText="1"/>
    </xf>
    <xf numFmtId="0" fontId="1" fillId="2" borderId="5" xfId="0" applyFont="1" applyFill="1" applyBorder="1" applyAlignment="1">
      <alignment horizontal="center"/>
    </xf>
    <xf numFmtId="0" fontId="1" fillId="2" borderId="0" xfId="0" applyFont="1" applyFill="1" applyAlignment="1">
      <alignment horizontal="center"/>
    </xf>
    <xf numFmtId="43" fontId="0" fillId="2" borderId="1" xfId="2" applyFont="1" applyFill="1" applyBorder="1"/>
  </cellXfs>
  <cellStyles count="3">
    <cellStyle name="Hipervínculo" xfId="1" builtinId="8"/>
    <cellStyle name="Millares" xfId="2" builtinId="3"/>
    <cellStyle name="Normal" xfId="0" builtinId="0"/>
  </cellStyles>
  <dxfs count="0"/>
  <tableStyles count="0" defaultTableStyle="TableStyleMedium2" defaultPivotStyle="PivotStyleLight16"/>
  <colors>
    <mruColors>
      <color rgb="FF29C7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A35:A43" totalsRowShown="0">
  <autoFilter ref="A35:A43" xr:uid="{00000000-0009-0000-0100-000001000000}"/>
  <tableColumns count="1">
    <tableColumn id="1" xr3:uid="{00000000-0010-0000-0000-000001000000}" name="Empresa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2" displayName="Tabla2" ref="A10:A33" totalsRowShown="0">
  <autoFilter ref="A10:A33" xr:uid="{00000000-0009-0000-0100-000002000000}"/>
  <tableColumns count="1">
    <tableColumn id="1" xr3:uid="{00000000-0010-0000-0100-000001000000}" name="Regimen fisca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a3" displayName="Tabla3" ref="C1:C11" totalsRowShown="0">
  <autoFilter ref="C1:C11" xr:uid="{00000000-0009-0000-0100-000003000000}"/>
  <tableColumns count="1">
    <tableColumn id="1" xr3:uid="{00000000-0010-0000-0200-000001000000}" name="USO DE CFDI"/>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a4" displayName="Tabla4" ref="C13:C17" totalsRowShown="0">
  <autoFilter ref="C13:C17" xr:uid="{00000000-0009-0000-0100-000004000000}"/>
  <tableColumns count="1">
    <tableColumn id="1" xr3:uid="{00000000-0010-0000-0300-000001000000}" name="FORMA DE PAGO"/>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a5" displayName="Tabla5" ref="C20:C22" totalsRowShown="0">
  <autoFilter ref="C20:C22" xr:uid="{00000000-0009-0000-0100-000005000000}"/>
  <tableColumns count="1">
    <tableColumn id="1" xr3:uid="{00000000-0010-0000-0400-000001000000}" name="METODO DE PAGO"/>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a6" displayName="Tabla6" ref="C25:C50" totalsRowShown="0">
  <autoFilter ref="C25:C50" xr:uid="{00000000-0009-0000-0100-000006000000}"/>
  <tableColumns count="1">
    <tableColumn id="1" xr3:uid="{00000000-0010-0000-0500-000001000000}" name="UNIDAD"/>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994A9-F576-494C-A598-420269E236C9}">
  <sheetPr>
    <pageSetUpPr fitToPage="1"/>
  </sheetPr>
  <dimension ref="A1:K46"/>
  <sheetViews>
    <sheetView showGridLines="0" tabSelected="1" zoomScale="85" zoomScaleNormal="85" workbookViewId="0">
      <selection activeCell="I17" sqref="I17"/>
    </sheetView>
  </sheetViews>
  <sheetFormatPr baseColWidth="10" defaultRowHeight="15"/>
  <cols>
    <col min="1" max="1" width="5.1640625" customWidth="1"/>
    <col min="2" max="2" width="21.5" customWidth="1"/>
    <col min="5" max="5" width="6.33203125" customWidth="1"/>
    <col min="8" max="8" width="11.1640625" bestFit="1" customWidth="1"/>
    <col min="9" max="9" width="7.6640625" customWidth="1"/>
    <col min="10" max="10" width="8.6640625" customWidth="1"/>
    <col min="11" max="11" width="13.6640625" customWidth="1"/>
  </cols>
  <sheetData>
    <row r="1" spans="2:11">
      <c r="B1" s="1"/>
      <c r="C1" s="1"/>
      <c r="D1" s="1"/>
      <c r="E1" s="1"/>
      <c r="F1" s="1"/>
      <c r="G1" s="1"/>
      <c r="H1" s="1"/>
      <c r="I1" s="1"/>
      <c r="J1" s="1"/>
      <c r="K1" s="1"/>
    </row>
    <row r="2" spans="2:11">
      <c r="B2" s="13" t="s">
        <v>11</v>
      </c>
      <c r="C2" s="47"/>
      <c r="D2" s="48"/>
      <c r="E2" s="48"/>
      <c r="F2" s="49"/>
      <c r="G2" s="1"/>
      <c r="H2" s="13" t="s">
        <v>9</v>
      </c>
      <c r="I2" s="50" t="s">
        <v>10</v>
      </c>
      <c r="J2" s="50"/>
      <c r="K2" s="50"/>
    </row>
    <row r="3" spans="2:11">
      <c r="B3" s="3" t="s">
        <v>114</v>
      </c>
      <c r="C3" s="3" t="s">
        <v>115</v>
      </c>
      <c r="D3" s="1"/>
      <c r="E3" s="1"/>
      <c r="F3" s="1"/>
      <c r="G3" s="1"/>
      <c r="H3" s="1"/>
      <c r="I3" s="1"/>
      <c r="J3" s="1"/>
      <c r="K3" s="1"/>
    </row>
    <row r="4" spans="2:11">
      <c r="B4" s="3" t="s">
        <v>118</v>
      </c>
      <c r="C4" s="26" t="s">
        <v>117</v>
      </c>
      <c r="D4" s="1"/>
      <c r="E4" s="1"/>
      <c r="F4" s="1"/>
      <c r="G4" s="1"/>
      <c r="H4" s="1"/>
      <c r="I4" s="1"/>
      <c r="J4" s="1"/>
      <c r="K4" s="1"/>
    </row>
    <row r="5" spans="2:11">
      <c r="B5" s="14" t="s">
        <v>82</v>
      </c>
      <c r="C5" s="47" t="s">
        <v>98</v>
      </c>
      <c r="D5" s="48"/>
      <c r="E5" s="48"/>
      <c r="F5" s="48"/>
      <c r="G5" s="48"/>
      <c r="H5" s="48"/>
      <c r="I5" s="48"/>
      <c r="J5" s="48"/>
      <c r="K5" s="49"/>
    </row>
    <row r="6" spans="2:11" ht="15" customHeight="1">
      <c r="B6" s="15" t="s">
        <v>116</v>
      </c>
      <c r="C6" s="51" t="s">
        <v>99</v>
      </c>
      <c r="D6" s="52"/>
      <c r="E6" s="52"/>
      <c r="F6" s="52"/>
      <c r="G6" s="52"/>
      <c r="H6" s="53"/>
      <c r="I6" s="54" t="s">
        <v>81</v>
      </c>
      <c r="J6" s="55"/>
      <c r="K6" s="56"/>
    </row>
    <row r="7" spans="2:11" ht="15" customHeight="1">
      <c r="B7" s="32" t="s">
        <v>76</v>
      </c>
      <c r="C7" s="35" t="s">
        <v>95</v>
      </c>
      <c r="D7" s="36"/>
      <c r="E7" s="36"/>
      <c r="F7" s="36"/>
      <c r="G7" s="36"/>
      <c r="H7" s="37"/>
      <c r="I7" s="57"/>
      <c r="J7" s="58"/>
      <c r="K7" s="59"/>
    </row>
    <row r="8" spans="2:11">
      <c r="B8" s="33"/>
      <c r="C8" s="38"/>
      <c r="D8" s="39"/>
      <c r="E8" s="39"/>
      <c r="F8" s="39"/>
      <c r="G8" s="39"/>
      <c r="H8" s="40"/>
      <c r="I8" s="57"/>
      <c r="J8" s="58"/>
      <c r="K8" s="59"/>
    </row>
    <row r="9" spans="2:11">
      <c r="B9" s="34"/>
      <c r="C9" s="41"/>
      <c r="D9" s="42"/>
      <c r="E9" s="42"/>
      <c r="F9" s="42"/>
      <c r="G9" s="42"/>
      <c r="H9" s="43"/>
      <c r="I9" s="57"/>
      <c r="J9" s="58"/>
      <c r="K9" s="59"/>
    </row>
    <row r="10" spans="2:11">
      <c r="B10" s="14" t="s">
        <v>77</v>
      </c>
      <c r="C10" s="44" t="s">
        <v>113</v>
      </c>
      <c r="D10" s="45"/>
      <c r="E10" s="45"/>
      <c r="F10" s="45"/>
      <c r="G10" s="45"/>
      <c r="H10" s="46"/>
      <c r="I10" s="60"/>
      <c r="J10" s="61"/>
      <c r="K10" s="62"/>
    </row>
    <row r="11" spans="2:11" ht="15" customHeight="1">
      <c r="B11" s="16" t="s">
        <v>78</v>
      </c>
      <c r="C11" s="44" t="s">
        <v>41</v>
      </c>
      <c r="D11" s="45"/>
      <c r="E11" s="45"/>
      <c r="F11" s="45"/>
      <c r="G11" s="45"/>
      <c r="H11" s="46"/>
      <c r="I11" s="63" t="s">
        <v>75</v>
      </c>
      <c r="J11" s="64"/>
      <c r="K11" s="65"/>
    </row>
    <row r="12" spans="2:11">
      <c r="B12" s="16" t="s">
        <v>79</v>
      </c>
      <c r="C12" s="44" t="s">
        <v>96</v>
      </c>
      <c r="D12" s="45"/>
      <c r="E12" s="45"/>
      <c r="F12" s="45"/>
      <c r="G12" s="45"/>
      <c r="H12" s="46"/>
      <c r="I12" s="66"/>
      <c r="J12" s="67"/>
      <c r="K12" s="68"/>
    </row>
    <row r="13" spans="2:11">
      <c r="B13" s="16" t="s">
        <v>80</v>
      </c>
      <c r="C13" s="44" t="s">
        <v>97</v>
      </c>
      <c r="D13" s="45"/>
      <c r="E13" s="45"/>
      <c r="F13" s="45"/>
      <c r="G13" s="45"/>
      <c r="H13" s="46"/>
      <c r="I13" s="69"/>
      <c r="J13" s="70"/>
      <c r="K13" s="71"/>
    </row>
    <row r="14" spans="2:11">
      <c r="B14" s="27" t="s">
        <v>121</v>
      </c>
      <c r="C14" s="1" t="s">
        <v>122</v>
      </c>
      <c r="D14" s="1"/>
      <c r="E14" s="1"/>
      <c r="F14" s="1"/>
      <c r="G14" s="1"/>
      <c r="H14" s="1"/>
      <c r="I14" s="1"/>
      <c r="J14" s="1"/>
      <c r="K14" s="1"/>
    </row>
    <row r="15" spans="2:11">
      <c r="B15" s="27" t="s">
        <v>123</v>
      </c>
      <c r="C15" s="5" t="s">
        <v>128</v>
      </c>
      <c r="D15" s="1"/>
      <c r="E15" s="1"/>
      <c r="F15" s="1"/>
      <c r="G15" s="1"/>
      <c r="H15" s="1"/>
      <c r="I15" s="1"/>
      <c r="J15" s="1"/>
      <c r="K15" s="1"/>
    </row>
    <row r="16" spans="2:11">
      <c r="B16" s="27" t="s">
        <v>124</v>
      </c>
      <c r="C16" s="5" t="s">
        <v>128</v>
      </c>
      <c r="D16" s="1"/>
      <c r="E16" s="1"/>
      <c r="F16" s="1"/>
      <c r="G16" s="1"/>
      <c r="H16" s="1"/>
      <c r="I16" s="1"/>
      <c r="J16" s="1"/>
      <c r="K16" s="1"/>
    </row>
    <row r="17" spans="1:11">
      <c r="B17" s="27" t="s">
        <v>125</v>
      </c>
      <c r="C17" s="5" t="s">
        <v>128</v>
      </c>
      <c r="D17" s="1"/>
      <c r="E17" s="1"/>
      <c r="F17" s="1" t="s">
        <v>126</v>
      </c>
      <c r="G17" s="1"/>
      <c r="H17" s="84">
        <v>100000</v>
      </c>
      <c r="I17" s="1" t="s">
        <v>129</v>
      </c>
      <c r="J17" s="1"/>
      <c r="K17" s="1"/>
    </row>
    <row r="18" spans="1:11">
      <c r="B18" s="1"/>
      <c r="C18" s="1"/>
      <c r="D18" s="1"/>
      <c r="E18" s="1"/>
      <c r="F18" s="1"/>
      <c r="G18" s="1"/>
      <c r="H18" s="1"/>
      <c r="I18" s="1"/>
      <c r="J18" s="1"/>
      <c r="K18" s="1"/>
    </row>
    <row r="19" spans="1:11">
      <c r="A19" s="17" t="s">
        <v>127</v>
      </c>
      <c r="B19" s="17" t="s">
        <v>2</v>
      </c>
      <c r="C19" s="17" t="s">
        <v>3</v>
      </c>
      <c r="D19" s="72" t="s">
        <v>4</v>
      </c>
      <c r="E19" s="73"/>
      <c r="F19" s="72" t="s">
        <v>5</v>
      </c>
      <c r="G19" s="74"/>
      <c r="H19" s="73"/>
      <c r="I19" s="72" t="s">
        <v>6</v>
      </c>
      <c r="J19" s="73"/>
      <c r="K19" s="17" t="s">
        <v>7</v>
      </c>
    </row>
    <row r="20" spans="1:11" ht="104" customHeight="1">
      <c r="A20" s="28">
        <v>1</v>
      </c>
      <c r="B20" s="4">
        <v>72103300</v>
      </c>
      <c r="C20" s="11">
        <v>11</v>
      </c>
      <c r="D20" s="75" t="s">
        <v>57</v>
      </c>
      <c r="E20" s="76"/>
      <c r="F20" s="77" t="s">
        <v>100</v>
      </c>
      <c r="G20" s="78"/>
      <c r="H20" s="79"/>
      <c r="I20" s="80">
        <v>350</v>
      </c>
      <c r="J20" s="81"/>
      <c r="K20" s="10">
        <f t="shared" ref="K20:K39" si="0">C20*I20</f>
        <v>3850</v>
      </c>
    </row>
    <row r="21" spans="1:11" ht="190" customHeight="1">
      <c r="A21" s="28">
        <v>2</v>
      </c>
      <c r="B21" s="4">
        <v>72103300</v>
      </c>
      <c r="C21" s="11">
        <v>11</v>
      </c>
      <c r="D21" s="75" t="s">
        <v>57</v>
      </c>
      <c r="E21" s="76"/>
      <c r="F21" s="77" t="s">
        <v>101</v>
      </c>
      <c r="G21" s="78"/>
      <c r="H21" s="79"/>
      <c r="I21" s="80">
        <v>800</v>
      </c>
      <c r="J21" s="81"/>
      <c r="K21" s="10">
        <f t="shared" si="0"/>
        <v>8800</v>
      </c>
    </row>
    <row r="22" spans="1:11" ht="88" customHeight="1">
      <c r="A22" s="28">
        <v>3</v>
      </c>
      <c r="B22" s="4">
        <v>72103300</v>
      </c>
      <c r="C22" s="11">
        <v>11</v>
      </c>
      <c r="D22" s="75" t="s">
        <v>57</v>
      </c>
      <c r="E22" s="76"/>
      <c r="F22" s="77" t="s">
        <v>102</v>
      </c>
      <c r="G22" s="78"/>
      <c r="H22" s="79"/>
      <c r="I22" s="80">
        <v>350</v>
      </c>
      <c r="J22" s="81"/>
      <c r="K22" s="10">
        <f t="shared" si="0"/>
        <v>3850</v>
      </c>
    </row>
    <row r="23" spans="1:11" ht="118" customHeight="1">
      <c r="A23" s="28">
        <v>4</v>
      </c>
      <c r="B23" s="4">
        <v>72103300</v>
      </c>
      <c r="C23" s="11">
        <v>9</v>
      </c>
      <c r="D23" s="75" t="s">
        <v>57</v>
      </c>
      <c r="E23" s="76"/>
      <c r="F23" s="77" t="s">
        <v>103</v>
      </c>
      <c r="G23" s="78"/>
      <c r="H23" s="79"/>
      <c r="I23" s="80">
        <v>250</v>
      </c>
      <c r="J23" s="81"/>
      <c r="K23" s="10">
        <f t="shared" si="0"/>
        <v>2250</v>
      </c>
    </row>
    <row r="24" spans="1:11" ht="268" customHeight="1">
      <c r="A24" s="28">
        <v>5</v>
      </c>
      <c r="B24" s="4">
        <v>72103300</v>
      </c>
      <c r="C24" s="11">
        <v>2</v>
      </c>
      <c r="D24" s="75" t="s">
        <v>57</v>
      </c>
      <c r="E24" s="76"/>
      <c r="F24" s="77" t="s">
        <v>104</v>
      </c>
      <c r="G24" s="78"/>
      <c r="H24" s="79"/>
      <c r="I24" s="80">
        <v>2900</v>
      </c>
      <c r="J24" s="81"/>
      <c r="K24" s="10">
        <f t="shared" si="0"/>
        <v>5800</v>
      </c>
    </row>
    <row r="25" spans="1:11" ht="105" customHeight="1">
      <c r="A25" s="28">
        <v>6</v>
      </c>
      <c r="B25" s="4">
        <v>72103300</v>
      </c>
      <c r="C25" s="11">
        <v>2</v>
      </c>
      <c r="D25" s="75" t="s">
        <v>57</v>
      </c>
      <c r="E25" s="76"/>
      <c r="F25" s="77" t="s">
        <v>105</v>
      </c>
      <c r="G25" s="78"/>
      <c r="H25" s="79"/>
      <c r="I25" s="80">
        <v>750</v>
      </c>
      <c r="J25" s="81"/>
      <c r="K25" s="10">
        <f t="shared" si="0"/>
        <v>1500</v>
      </c>
    </row>
    <row r="26" spans="1:11" ht="170" customHeight="1">
      <c r="A26" s="28">
        <v>7</v>
      </c>
      <c r="B26" s="4">
        <v>72103300</v>
      </c>
      <c r="C26" s="11">
        <v>1</v>
      </c>
      <c r="D26" s="75" t="s">
        <v>57</v>
      </c>
      <c r="E26" s="76"/>
      <c r="F26" s="77" t="s">
        <v>106</v>
      </c>
      <c r="G26" s="78"/>
      <c r="H26" s="79"/>
      <c r="I26" s="80">
        <v>2100</v>
      </c>
      <c r="J26" s="81"/>
      <c r="K26" s="10">
        <f t="shared" si="0"/>
        <v>2100</v>
      </c>
    </row>
    <row r="27" spans="1:11" ht="173" customHeight="1">
      <c r="A27" s="28">
        <v>8</v>
      </c>
      <c r="B27" s="4">
        <v>72103300</v>
      </c>
      <c r="C27" s="11">
        <v>5</v>
      </c>
      <c r="D27" s="75" t="s">
        <v>57</v>
      </c>
      <c r="E27" s="76"/>
      <c r="F27" s="77" t="s">
        <v>107</v>
      </c>
      <c r="G27" s="78"/>
      <c r="H27" s="79"/>
      <c r="I27" s="80">
        <v>2920</v>
      </c>
      <c r="J27" s="81"/>
      <c r="K27" s="10">
        <f t="shared" si="0"/>
        <v>14600</v>
      </c>
    </row>
    <row r="28" spans="1:11" ht="106" customHeight="1">
      <c r="A28" s="28">
        <v>9</v>
      </c>
      <c r="B28" s="4">
        <v>72103300</v>
      </c>
      <c r="C28" s="11">
        <v>4</v>
      </c>
      <c r="D28" s="75" t="s">
        <v>57</v>
      </c>
      <c r="E28" s="76"/>
      <c r="F28" s="77" t="s">
        <v>108</v>
      </c>
      <c r="G28" s="78"/>
      <c r="H28" s="79"/>
      <c r="I28" s="80">
        <v>750</v>
      </c>
      <c r="J28" s="81"/>
      <c r="K28" s="10">
        <f t="shared" si="0"/>
        <v>3000</v>
      </c>
    </row>
    <row r="29" spans="1:11" ht="105" customHeight="1">
      <c r="A29" s="28">
        <v>10</v>
      </c>
      <c r="B29" s="4">
        <v>72103300</v>
      </c>
      <c r="C29" s="11">
        <v>2</v>
      </c>
      <c r="D29" s="75" t="s">
        <v>57</v>
      </c>
      <c r="E29" s="76"/>
      <c r="F29" s="77" t="s">
        <v>109</v>
      </c>
      <c r="G29" s="78"/>
      <c r="H29" s="79"/>
      <c r="I29" s="80">
        <v>1000</v>
      </c>
      <c r="J29" s="81"/>
      <c r="K29" s="10">
        <f t="shared" si="0"/>
        <v>2000</v>
      </c>
    </row>
    <row r="30" spans="1:11" ht="98" customHeight="1">
      <c r="A30" s="28">
        <v>11</v>
      </c>
      <c r="B30" s="4">
        <v>72103300</v>
      </c>
      <c r="C30" s="11">
        <v>2</v>
      </c>
      <c r="D30" s="75" t="s">
        <v>57</v>
      </c>
      <c r="E30" s="76"/>
      <c r="F30" s="77" t="s">
        <v>110</v>
      </c>
      <c r="G30" s="78"/>
      <c r="H30" s="79"/>
      <c r="I30" s="80">
        <v>1500</v>
      </c>
      <c r="J30" s="81"/>
      <c r="K30" s="10">
        <f t="shared" si="0"/>
        <v>3000</v>
      </c>
    </row>
    <row r="31" spans="1:11" ht="109" customHeight="1">
      <c r="A31" s="28">
        <v>12</v>
      </c>
      <c r="B31" s="4">
        <v>72103300</v>
      </c>
      <c r="C31" s="11">
        <v>34</v>
      </c>
      <c r="D31" s="75" t="s">
        <v>57</v>
      </c>
      <c r="E31" s="76"/>
      <c r="F31" s="77" t="s">
        <v>111</v>
      </c>
      <c r="G31" s="78"/>
      <c r="H31" s="79"/>
      <c r="I31" s="80">
        <v>1100</v>
      </c>
      <c r="J31" s="81"/>
      <c r="K31" s="10">
        <f t="shared" si="0"/>
        <v>37400</v>
      </c>
    </row>
    <row r="32" spans="1:11" ht="117" customHeight="1">
      <c r="A32" s="28">
        <v>13</v>
      </c>
      <c r="B32" s="4">
        <v>72103300</v>
      </c>
      <c r="C32" s="11">
        <v>24</v>
      </c>
      <c r="D32" s="75" t="s">
        <v>57</v>
      </c>
      <c r="E32" s="76"/>
      <c r="F32" s="77" t="s">
        <v>112</v>
      </c>
      <c r="G32" s="78"/>
      <c r="H32" s="79"/>
      <c r="I32" s="80">
        <v>1100</v>
      </c>
      <c r="J32" s="81"/>
      <c r="K32" s="10">
        <f t="shared" si="0"/>
        <v>26400</v>
      </c>
    </row>
    <row r="33" spans="2:11" hidden="1">
      <c r="B33" s="4"/>
      <c r="C33" s="11"/>
      <c r="D33" s="75"/>
      <c r="E33" s="76"/>
      <c r="F33" s="77"/>
      <c r="G33" s="78"/>
      <c r="H33" s="79"/>
      <c r="I33" s="18"/>
      <c r="J33" s="19"/>
      <c r="K33" s="10">
        <f t="shared" si="0"/>
        <v>0</v>
      </c>
    </row>
    <row r="34" spans="2:11" hidden="1">
      <c r="B34" s="4"/>
      <c r="C34" s="11"/>
      <c r="D34" s="75"/>
      <c r="E34" s="76"/>
      <c r="F34" s="77"/>
      <c r="G34" s="78"/>
      <c r="H34" s="79"/>
      <c r="I34" s="18"/>
      <c r="J34" s="19"/>
      <c r="K34" s="10">
        <f t="shared" si="0"/>
        <v>0</v>
      </c>
    </row>
    <row r="35" spans="2:11" hidden="1">
      <c r="B35" s="4"/>
      <c r="C35" s="11"/>
      <c r="D35" s="75"/>
      <c r="E35" s="76"/>
      <c r="F35" s="77"/>
      <c r="G35" s="78"/>
      <c r="H35" s="79"/>
      <c r="I35" s="18"/>
      <c r="J35" s="19"/>
      <c r="K35" s="10">
        <f t="shared" si="0"/>
        <v>0</v>
      </c>
    </row>
    <row r="36" spans="2:11" hidden="1">
      <c r="B36" s="4"/>
      <c r="C36" s="11"/>
      <c r="D36" s="75"/>
      <c r="E36" s="76"/>
      <c r="F36" s="77"/>
      <c r="G36" s="78"/>
      <c r="H36" s="79"/>
      <c r="I36" s="18"/>
      <c r="J36" s="19"/>
      <c r="K36" s="10">
        <f t="shared" si="0"/>
        <v>0</v>
      </c>
    </row>
    <row r="37" spans="2:11" hidden="1">
      <c r="B37" s="4"/>
      <c r="C37" s="11"/>
      <c r="D37" s="75"/>
      <c r="E37" s="76"/>
      <c r="F37" s="77"/>
      <c r="G37" s="78"/>
      <c r="H37" s="79"/>
      <c r="I37" s="80"/>
      <c r="J37" s="81"/>
      <c r="K37" s="10">
        <f t="shared" si="0"/>
        <v>0</v>
      </c>
    </row>
    <row r="38" spans="2:11" hidden="1">
      <c r="B38" s="4"/>
      <c r="C38" s="11"/>
      <c r="D38" s="75"/>
      <c r="E38" s="76"/>
      <c r="F38" s="77"/>
      <c r="G38" s="78"/>
      <c r="H38" s="79"/>
      <c r="I38" s="80"/>
      <c r="J38" s="81"/>
      <c r="K38" s="10">
        <f t="shared" si="0"/>
        <v>0</v>
      </c>
    </row>
    <row r="39" spans="2:11" ht="11.25" hidden="1" customHeight="1">
      <c r="B39" s="4"/>
      <c r="C39" s="11"/>
      <c r="D39" s="75"/>
      <c r="E39" s="76"/>
      <c r="F39" s="77"/>
      <c r="G39" s="78"/>
      <c r="H39" s="79"/>
      <c r="I39" s="80"/>
      <c r="J39" s="81"/>
      <c r="K39" s="10">
        <f t="shared" si="0"/>
        <v>0</v>
      </c>
    </row>
    <row r="40" spans="2:11">
      <c r="B40" s="1"/>
      <c r="C40" s="1"/>
      <c r="D40" s="82"/>
      <c r="E40" s="82"/>
      <c r="F40" s="82"/>
      <c r="G40" s="82"/>
      <c r="H40" s="82"/>
      <c r="I40" s="83"/>
      <c r="J40" s="1"/>
      <c r="K40" s="1"/>
    </row>
    <row r="41" spans="2:11">
      <c r="B41" s="1"/>
      <c r="C41" s="1"/>
      <c r="D41" s="1"/>
      <c r="E41" s="1"/>
      <c r="F41" s="1"/>
      <c r="G41" s="1"/>
      <c r="H41" s="1"/>
      <c r="I41" s="1"/>
      <c r="J41" s="5" t="s">
        <v>8</v>
      </c>
      <c r="K41" s="6">
        <f>SUM(K20:K40)</f>
        <v>114550</v>
      </c>
    </row>
    <row r="42" spans="2:11">
      <c r="B42" s="1"/>
      <c r="C42" s="1"/>
      <c r="D42" s="1"/>
      <c r="E42" s="1"/>
      <c r="F42" s="1"/>
      <c r="G42" s="1"/>
      <c r="H42" s="1"/>
      <c r="I42" s="1"/>
      <c r="J42" s="7" t="s">
        <v>83</v>
      </c>
      <c r="K42" s="8">
        <f>K41*0.16</f>
        <v>18328</v>
      </c>
    </row>
    <row r="43" spans="2:11">
      <c r="B43" s="20"/>
      <c r="C43" s="21"/>
      <c r="D43" s="21"/>
      <c r="E43" s="21"/>
      <c r="F43" s="22"/>
      <c r="G43" s="1"/>
      <c r="H43" s="1"/>
      <c r="I43" s="1"/>
      <c r="J43" s="2" t="s">
        <v>7</v>
      </c>
      <c r="K43" s="9">
        <f>K41+K42</f>
        <v>132878</v>
      </c>
    </row>
    <row r="44" spans="2:11">
      <c r="B44" s="25"/>
      <c r="C44" s="23"/>
      <c r="D44" s="23"/>
      <c r="E44" s="23"/>
      <c r="F44" s="24"/>
      <c r="G44" s="12"/>
      <c r="H44" s="12"/>
      <c r="I44" s="1"/>
      <c r="J44" s="1"/>
      <c r="K44" s="1"/>
    </row>
    <row r="45" spans="2:11" ht="16" thickBot="1"/>
    <row r="46" spans="2:11" ht="16" thickBot="1">
      <c r="B46" s="27" t="s">
        <v>119</v>
      </c>
      <c r="C46" s="29" t="s">
        <v>120</v>
      </c>
      <c r="D46" s="30"/>
      <c r="E46" s="30"/>
      <c r="F46" s="30"/>
      <c r="G46" s="30"/>
      <c r="H46" s="30"/>
      <c r="I46" s="30"/>
      <c r="J46" s="30"/>
      <c r="K46" s="31"/>
    </row>
  </sheetData>
  <mergeCells count="73">
    <mergeCell ref="D32:E32"/>
    <mergeCell ref="F28:H28"/>
    <mergeCell ref="F29:H29"/>
    <mergeCell ref="F30:H30"/>
    <mergeCell ref="F31:H31"/>
    <mergeCell ref="D27:E27"/>
    <mergeCell ref="D28:E28"/>
    <mergeCell ref="D29:E29"/>
    <mergeCell ref="D30:E30"/>
    <mergeCell ref="D31:E31"/>
    <mergeCell ref="D40:I40"/>
    <mergeCell ref="D36:E36"/>
    <mergeCell ref="F36:H36"/>
    <mergeCell ref="D37:E37"/>
    <mergeCell ref="F37:H37"/>
    <mergeCell ref="I37:J37"/>
    <mergeCell ref="D38:E38"/>
    <mergeCell ref="F38:H38"/>
    <mergeCell ref="I38:J38"/>
    <mergeCell ref="D35:E35"/>
    <mergeCell ref="F35:H35"/>
    <mergeCell ref="D39:E39"/>
    <mergeCell ref="F39:H39"/>
    <mergeCell ref="I39:J39"/>
    <mergeCell ref="D22:E22"/>
    <mergeCell ref="I22:J22"/>
    <mergeCell ref="D33:E33"/>
    <mergeCell ref="F33:H33"/>
    <mergeCell ref="D34:E34"/>
    <mergeCell ref="F34:H34"/>
    <mergeCell ref="D23:E23"/>
    <mergeCell ref="F23:H23"/>
    <mergeCell ref="I23:J23"/>
    <mergeCell ref="D24:E24"/>
    <mergeCell ref="D25:E25"/>
    <mergeCell ref="F25:H25"/>
    <mergeCell ref="I25:J25"/>
    <mergeCell ref="D26:E26"/>
    <mergeCell ref="I26:J26"/>
    <mergeCell ref="F26:H26"/>
    <mergeCell ref="F32:H32"/>
    <mergeCell ref="I32:J32"/>
    <mergeCell ref="F24:H24"/>
    <mergeCell ref="I24:J24"/>
    <mergeCell ref="F22:H22"/>
    <mergeCell ref="F27:H27"/>
    <mergeCell ref="I27:J27"/>
    <mergeCell ref="I28:J28"/>
    <mergeCell ref="I29:J29"/>
    <mergeCell ref="I30:J30"/>
    <mergeCell ref="I31:J31"/>
    <mergeCell ref="D20:E20"/>
    <mergeCell ref="F20:H20"/>
    <mergeCell ref="I20:J20"/>
    <mergeCell ref="F21:H21"/>
    <mergeCell ref="D21:E21"/>
    <mergeCell ref="I21:J21"/>
    <mergeCell ref="C46:K46"/>
    <mergeCell ref="B7:B9"/>
    <mergeCell ref="C7:H9"/>
    <mergeCell ref="C10:H10"/>
    <mergeCell ref="C2:F2"/>
    <mergeCell ref="I2:K2"/>
    <mergeCell ref="C5:K5"/>
    <mergeCell ref="C6:H6"/>
    <mergeCell ref="I6:K10"/>
    <mergeCell ref="C11:H11"/>
    <mergeCell ref="I11:K13"/>
    <mergeCell ref="C12:H12"/>
    <mergeCell ref="C13:H13"/>
    <mergeCell ref="D19:E19"/>
    <mergeCell ref="F19:H19"/>
    <mergeCell ref="I19:J19"/>
  </mergeCells>
  <pageMargins left="0.7" right="0.7" top="0.75" bottom="0.75" header="0.3" footer="0.3"/>
  <pageSetup paperSize="9" scale="72" fitToHeight="4"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errorTitle="Entrada no valida" error="Seleccione una empresa de la lista" promptTitle="EMPRESAS" prompt="Seleccione una empresa de la lista" xr:uid="{E7C649B4-2F44-458D-8AFD-65C3A03D2F58}">
          <x14:formula1>
            <xm:f>Hoja1!$A$36:$A$43</xm:f>
          </x14:formula1>
          <xm:sqref>C2:F2</xm:sqref>
        </x14:dataValidation>
        <x14:dataValidation type="list" allowBlank="1" showInputMessage="1" showErrorMessage="1" errorTitle="Entrada no valida" error="Seleccione una unidad de la lista" promptTitle="UNIDAD" prompt="Seleccione una unidad de la lista" xr:uid="{D86DA08E-1C79-45C8-85F2-41C488AA66AC}">
          <x14:formula1>
            <xm:f>Hoja1!$C$26:$C$40</xm:f>
          </x14:formula1>
          <xm:sqref>D39:E39</xm:sqref>
        </x14:dataValidation>
        <x14:dataValidation type="list" allowBlank="1" showInputMessage="1" showErrorMessage="1" errorTitle="Entrada no valida" error="Seleccione una unidad de la lista" promptTitle="UNIDAD" prompt="Seleccione una unidad de la lista" xr:uid="{E1B5BA92-44B9-4E1E-8732-4AC9023E027F}">
          <x14:formula1>
            <xm:f>Hoja1!$C$26:$C$41</xm:f>
          </x14:formula1>
          <xm:sqref>D33:E38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9"/>
  <sheetViews>
    <sheetView topLeftCell="A20" workbookViewId="0">
      <selection sqref="A1:D50"/>
    </sheetView>
  </sheetViews>
  <sheetFormatPr baseColWidth="10" defaultRowHeight="15"/>
  <cols>
    <col min="1" max="1" width="39.5" customWidth="1"/>
    <col min="3" max="3" width="12" customWidth="1"/>
  </cols>
  <sheetData>
    <row r="1" spans="1:3">
      <c r="C1" t="s">
        <v>50</v>
      </c>
    </row>
    <row r="2" spans="1:3">
      <c r="C2" t="s">
        <v>40</v>
      </c>
    </row>
    <row r="3" spans="1:3">
      <c r="C3" t="s">
        <v>41</v>
      </c>
    </row>
    <row r="4" spans="1:3">
      <c r="C4" t="s">
        <v>42</v>
      </c>
    </row>
    <row r="5" spans="1:3">
      <c r="C5" t="s">
        <v>43</v>
      </c>
    </row>
    <row r="6" spans="1:3">
      <c r="C6" t="s">
        <v>44</v>
      </c>
    </row>
    <row r="7" spans="1:3">
      <c r="C7" t="s">
        <v>45</v>
      </c>
    </row>
    <row r="8" spans="1:3">
      <c r="C8" t="s">
        <v>46</v>
      </c>
    </row>
    <row r="9" spans="1:3">
      <c r="C9" t="s">
        <v>47</v>
      </c>
    </row>
    <row r="10" spans="1:3">
      <c r="A10" t="s">
        <v>39</v>
      </c>
      <c r="C10" t="s">
        <v>48</v>
      </c>
    </row>
    <row r="11" spans="1:3">
      <c r="A11" t="s">
        <v>16</v>
      </c>
      <c r="C11" t="s">
        <v>49</v>
      </c>
    </row>
    <row r="12" spans="1:3">
      <c r="A12" t="s">
        <v>17</v>
      </c>
    </row>
    <row r="13" spans="1:3">
      <c r="A13" t="s">
        <v>18</v>
      </c>
      <c r="C13" t="s">
        <v>0</v>
      </c>
    </row>
    <row r="14" spans="1:3">
      <c r="A14" t="s">
        <v>20</v>
      </c>
      <c r="C14" t="s">
        <v>51</v>
      </c>
    </row>
    <row r="15" spans="1:3">
      <c r="A15" t="s">
        <v>19</v>
      </c>
      <c r="C15" t="s">
        <v>52</v>
      </c>
    </row>
    <row r="16" spans="1:3">
      <c r="A16" t="s">
        <v>21</v>
      </c>
      <c r="C16" t="s">
        <v>53</v>
      </c>
    </row>
    <row r="17" spans="1:3">
      <c r="A17" t="s">
        <v>22</v>
      </c>
      <c r="C17" t="s">
        <v>54</v>
      </c>
    </row>
    <row r="18" spans="1:3">
      <c r="A18" t="s">
        <v>23</v>
      </c>
    </row>
    <row r="19" spans="1:3">
      <c r="A19" t="s">
        <v>24</v>
      </c>
    </row>
    <row r="20" spans="1:3">
      <c r="A20" t="s">
        <v>25</v>
      </c>
      <c r="C20" t="s">
        <v>1</v>
      </c>
    </row>
    <row r="21" spans="1:3">
      <c r="A21" t="s">
        <v>26</v>
      </c>
      <c r="C21" t="s">
        <v>55</v>
      </c>
    </row>
    <row r="22" spans="1:3">
      <c r="A22" t="s">
        <v>27</v>
      </c>
      <c r="C22" t="s">
        <v>56</v>
      </c>
    </row>
    <row r="23" spans="1:3">
      <c r="A23" t="s">
        <v>28</v>
      </c>
    </row>
    <row r="24" spans="1:3">
      <c r="A24" t="s">
        <v>29</v>
      </c>
    </row>
    <row r="25" spans="1:3">
      <c r="A25" t="s">
        <v>30</v>
      </c>
      <c r="C25" t="s">
        <v>4</v>
      </c>
    </row>
    <row r="26" spans="1:3">
      <c r="A26" t="s">
        <v>31</v>
      </c>
      <c r="C26" t="s">
        <v>57</v>
      </c>
    </row>
    <row r="27" spans="1:3">
      <c r="A27" t="s">
        <v>32</v>
      </c>
      <c r="C27" t="s">
        <v>58</v>
      </c>
    </row>
    <row r="28" spans="1:3">
      <c r="A28" t="s">
        <v>33</v>
      </c>
      <c r="C28" t="s">
        <v>66</v>
      </c>
    </row>
    <row r="29" spans="1:3">
      <c r="A29" t="s">
        <v>34</v>
      </c>
      <c r="C29" t="s">
        <v>59</v>
      </c>
    </row>
    <row r="30" spans="1:3">
      <c r="A30" t="s">
        <v>35</v>
      </c>
      <c r="C30" t="s">
        <v>60</v>
      </c>
    </row>
    <row r="31" spans="1:3">
      <c r="A31" t="s">
        <v>36</v>
      </c>
      <c r="C31" t="s">
        <v>61</v>
      </c>
    </row>
    <row r="32" spans="1:3">
      <c r="A32" t="s">
        <v>37</v>
      </c>
      <c r="C32" t="s">
        <v>62</v>
      </c>
    </row>
    <row r="33" spans="1:3">
      <c r="A33" t="s">
        <v>38</v>
      </c>
      <c r="C33" t="s">
        <v>63</v>
      </c>
    </row>
    <row r="34" spans="1:3">
      <c r="C34" t="s">
        <v>64</v>
      </c>
    </row>
    <row r="35" spans="1:3">
      <c r="A35" t="s">
        <v>15</v>
      </c>
      <c r="C35" t="s">
        <v>65</v>
      </c>
    </row>
    <row r="36" spans="1:3">
      <c r="A36" t="s">
        <v>14</v>
      </c>
      <c r="C36" t="s">
        <v>67</v>
      </c>
    </row>
    <row r="37" spans="1:3">
      <c r="A37" t="s">
        <v>84</v>
      </c>
      <c r="C37" t="s">
        <v>68</v>
      </c>
    </row>
    <row r="38" spans="1:3">
      <c r="A38" t="s">
        <v>86</v>
      </c>
      <c r="C38" t="s">
        <v>69</v>
      </c>
    </row>
    <row r="39" spans="1:3">
      <c r="A39" t="s">
        <v>12</v>
      </c>
      <c r="C39" t="s">
        <v>70</v>
      </c>
    </row>
    <row r="40" spans="1:3">
      <c r="A40" t="s">
        <v>88</v>
      </c>
      <c r="C40" t="s">
        <v>71</v>
      </c>
    </row>
    <row r="41" spans="1:3">
      <c r="A41" t="s">
        <v>13</v>
      </c>
      <c r="C41" t="s">
        <v>72</v>
      </c>
    </row>
    <row r="42" spans="1:3">
      <c r="A42" t="s">
        <v>74</v>
      </c>
      <c r="C42" t="s">
        <v>73</v>
      </c>
    </row>
    <row r="43" spans="1:3">
      <c r="A43" t="s">
        <v>87</v>
      </c>
      <c r="C43" t="s">
        <v>91</v>
      </c>
    </row>
    <row r="44" spans="1:3">
      <c r="C44" t="s">
        <v>85</v>
      </c>
    </row>
    <row r="45" spans="1:3">
      <c r="C45" t="s">
        <v>89</v>
      </c>
    </row>
    <row r="46" spans="1:3">
      <c r="C46" t="s">
        <v>90</v>
      </c>
    </row>
    <row r="47" spans="1:3">
      <c r="C47" t="s">
        <v>92</v>
      </c>
    </row>
    <row r="48" spans="1:3">
      <c r="C48" t="s">
        <v>93</v>
      </c>
    </row>
    <row r="49" spans="3:3">
      <c r="C49" t="s">
        <v>94</v>
      </c>
    </row>
  </sheetData>
  <pageMargins left="0.7" right="0.7" top="0.75" bottom="0.75" header="0.3" footer="0.3"/>
  <tableParts count="6">
    <tablePart r:id="rId1"/>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8VA FAC </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Equipo_2</dc:creator>
  <cp:lastModifiedBy>Microsoft Office User</cp:lastModifiedBy>
  <cp:lastPrinted>2026-02-28T00:06:56Z</cp:lastPrinted>
  <dcterms:created xsi:type="dcterms:W3CDTF">2017-12-04T17:48:14Z</dcterms:created>
  <dcterms:modified xsi:type="dcterms:W3CDTF">2026-02-28T00:07:01Z</dcterms:modified>
</cp:coreProperties>
</file>