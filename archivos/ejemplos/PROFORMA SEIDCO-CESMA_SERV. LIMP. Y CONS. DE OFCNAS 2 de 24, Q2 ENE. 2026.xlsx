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CBF759CD-210B-9F46-BDC1-53D48BDA33A7}" xr6:coauthVersionLast="47" xr6:coauthVersionMax="47" xr10:uidLastSave="{00000000-0000-0000-0000-000000000000}"/>
  <bookViews>
    <workbookView xWindow="4500" yWindow="500" windowWidth="23260" windowHeight="12460" xr2:uid="{3D044F6E-E3DB-4B2A-B846-EE622570E130}"/>
  </bookViews>
  <sheets>
    <sheet name="FACTUR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8" i="1" l="1"/>
  <c r="J19" i="1" s="1"/>
  <c r="J20" i="1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<sst xmlns="http://schemas.openxmlformats.org/spreadsheetml/2006/main" count="33" uniqueCount="32">
  <si>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</si>
  <si>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</si>
  <si>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</si>
  <si>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</si>
  <si>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</si>
  <si>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</si>
  <si>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</si>
  <si>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</si>
  <si>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</si>
  <si>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</si>
  <si>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</si>
  <si>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</si>
  <si>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</si>
  <si>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</si>
  <si>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</si>
  <si>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</si>
  <si>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</si>
  <si>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</si>
  <si>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</si>
  <si>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</si>
  <si>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</si>
  <si>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</si>
  <si>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</si>
  <si>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</si>
  <si>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</si>
  <si>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</si>
  <si>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</si>
  <si>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</si>
  <si>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</si>
  <si>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</si>
  <si>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SEIDCO</t>
  </si>
  <si>
    <t>CARGO QUINCENAL 2 DE 24 POR SERVICIOS DE LIMPIEZA Y CONSERVACION DE OFICINAS,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</si>
</sst>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top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1:L21"/>
  <sheetViews>
    <sheetView tabSelected="1" zoomScale="85" zoomScaleNormal="85" workbookViewId="0">
      <selection activeCell="E15" sqref="E15:G1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72" t="s">
        <v>0</v>
      </c>
      <c r="B2" s="55"/>
      <c r="C2" s="55"/>
      <c r="D2" s="55"/>
      <c r="E2" s="55"/>
      <c r="F2" s="1"/>
      <c r="G2" s="72" t="s">
        <v>1</v>
      </c>
      <c r="H2" s="56" t="s">
        <v>2</v>
      </c>
      <c r="I2" s="56"/>
      <c r="J2" s="56"/>
    </row>
    <row r="3" spans="1:10" x14ac:dyDescent="0.2">
      <c r="A3" s="2"/>
      <c r="B3" s="2" t="s">
        <v>30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72" t="s">
        <v>3</v>
      </c>
      <c r="B4" s="57" t="s">
        <v>4</v>
      </c>
      <c r="C4" s="58"/>
      <c r="D4" s="58"/>
      <c r="E4" s="58"/>
      <c r="F4" s="58"/>
      <c r="G4" s="58"/>
      <c r="H4" s="58"/>
      <c r="I4" s="58"/>
      <c r="J4" s="59"/>
    </row>
    <row r="5" spans="1:10" x14ac:dyDescent="0.2">
      <c r="A5" s="73" t="s">
        <v>5</v>
      </c>
      <c r="B5" s="60" t="s">
        <v>6</v>
      </c>
      <c r="C5" s="61"/>
      <c r="D5" s="61"/>
      <c r="E5" s="61"/>
      <c r="F5" s="61"/>
      <c r="G5" s="62"/>
      <c r="H5" s="63" t="s">
        <v>7</v>
      </c>
      <c r="I5" s="64"/>
      <c r="J5" s="65"/>
    </row>
    <row r="6" spans="1:10" x14ac:dyDescent="0.2">
      <c r="A6" s="74" t="s">
        <v>8</v>
      </c>
      <c r="B6" s="46" t="s">
        <v>9</v>
      </c>
      <c r="C6" s="47"/>
      <c r="D6" s="47"/>
      <c r="E6" s="47"/>
      <c r="F6" s="47"/>
      <c r="G6" s="48"/>
      <c r="H6" s="66"/>
      <c r="I6" s="67"/>
      <c r="J6" s="68"/>
    </row>
    <row r="7" spans="1:10" x14ac:dyDescent="0.2">
      <c r="A7" s="75"/>
      <c r="B7" s="49"/>
      <c r="C7" s="50"/>
      <c r="D7" s="50"/>
      <c r="E7" s="50"/>
      <c r="F7" s="50"/>
      <c r="G7" s="51"/>
      <c r="H7" s="66"/>
      <c r="I7" s="67"/>
      <c r="J7" s="68"/>
    </row>
    <row r="8" spans="1:10" x14ac:dyDescent="0.2">
      <c r="A8" s="76"/>
      <c r="B8" s="52"/>
      <c r="C8" s="53"/>
      <c r="D8" s="53"/>
      <c r="E8" s="53"/>
      <c r="F8" s="53"/>
      <c r="G8" s="54"/>
      <c r="H8" s="66"/>
      <c r="I8" s="67"/>
      <c r="J8" s="68"/>
    </row>
    <row r="9" spans="1:10" x14ac:dyDescent="0.2">
      <c r="A9" s="72" t="s">
        <v>10</v>
      </c>
      <c r="B9" s="31" t="s">
        <v>11</v>
      </c>
      <c r="C9" s="32"/>
      <c r="D9" s="32"/>
      <c r="E9" s="32"/>
      <c r="F9" s="32"/>
      <c r="G9" s="33"/>
      <c r="H9" s="69"/>
      <c r="I9" s="70"/>
      <c r="J9" s="71"/>
    </row>
    <row r="10" spans="1:10" x14ac:dyDescent="0.2">
      <c r="A10" s="77" t="s">
        <v>12</v>
      </c>
      <c r="B10" s="31" t="s">
        <v>13</v>
      </c>
      <c r="C10" s="32"/>
      <c r="D10" s="32"/>
      <c r="E10" s="32"/>
      <c r="F10" s="32"/>
      <c r="G10" s="33"/>
      <c r="H10" s="34" t="s">
        <v>14</v>
      </c>
      <c r="I10" s="35"/>
      <c r="J10" s="36"/>
    </row>
    <row r="11" spans="1:10" x14ac:dyDescent="0.2">
      <c r="A11" s="77" t="s">
        <v>15</v>
      </c>
      <c r="B11" s="31" t="s">
        <v>16</v>
      </c>
      <c r="C11" s="32"/>
      <c r="D11" s="32"/>
      <c r="E11" s="32"/>
      <c r="F11" s="32"/>
      <c r="G11" s="33"/>
      <c r="H11" s="37"/>
      <c r="I11" s="38"/>
      <c r="J11" s="39"/>
    </row>
    <row r="12" spans="1:10" x14ac:dyDescent="0.2">
      <c r="A12" s="77" t="s">
        <v>17</v>
      </c>
      <c r="B12" s="31" t="s">
        <v>18</v>
      </c>
      <c r="C12" s="32"/>
      <c r="D12" s="32"/>
      <c r="E12" s="32"/>
      <c r="F12" s="32"/>
      <c r="G12" s="33"/>
      <c r="H12" s="40"/>
      <c r="I12" s="41"/>
      <c r="J12" s="42"/>
    </row>
    <row r="13" spans="1:10" x14ac:dyDescent="0.2">
      <c r="A13" s="1"/>
      <c r="B13" s="2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3" t="s">
        <v>19</v>
      </c>
      <c r="B14" s="3" t="s">
        <v>20</v>
      </c>
      <c r="C14" s="43" t="s">
        <v>21</v>
      </c>
      <c r="D14" s="44"/>
      <c r="E14" s="43" t="s">
        <v>22</v>
      </c>
      <c r="F14" s="45"/>
      <c r="G14" s="44"/>
      <c r="H14" s="43" t="s">
        <v>23</v>
      </c>
      <c r="I14" s="44"/>
      <c r="J14" s="3" t="s">
        <v>24</v>
      </c>
    </row>
    <row r="15" spans="1:10" ht="40.75" customHeight="1" x14ac:dyDescent="0.2">
      <c r="A15" s="4">
        <v>76111500</v>
      </c>
      <c r="B15" s="5">
        <v>1</v>
      </c>
      <c r="C15" s="23" t="s">
        <v>25</v>
      </c>
      <c r="D15" s="24"/>
      <c r="E15" s="25" t="s">
        <v>31</v>
      </c>
      <c r="F15" s="26"/>
      <c r="G15" s="27"/>
      <c r="H15" s="28">
        <v>17900</v>
      </c>
      <c r="I15" s="29"/>
      <c r="J15" s="6">
        <f t="shared" ref="J15:J16" si="0">B15*H15</f>
        <v>17900</v>
      </c>
    </row>
    <row r="16" spans="1:10" ht="14.5" customHeight="1" x14ac:dyDescent="0.2">
      <c r="A16" s="4"/>
      <c r="B16" s="5"/>
      <c r="C16" s="23"/>
      <c r="D16" s="24"/>
      <c r="E16" s="25"/>
      <c r="F16" s="26"/>
      <c r="G16" s="27"/>
      <c r="H16" s="28"/>
      <c r="I16" s="29"/>
      <c r="J16" s="6">
        <f t="shared" si="0"/>
        <v>0</v>
      </c>
    </row>
    <row r="17" spans="1:12" x14ac:dyDescent="0.2">
      <c r="A17" s="1"/>
      <c r="B17" s="1"/>
      <c r="C17" s="30"/>
      <c r="D17" s="30"/>
      <c r="E17" s="30"/>
      <c r="F17" s="30"/>
      <c r="G17" s="30"/>
      <c r="H17" s="30"/>
      <c r="I17" s="1"/>
      <c r="J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7" t="s">
        <v>26</v>
      </c>
      <c r="J18" s="8">
        <f>SUM(J15:J17)</f>
        <v>17900</v>
      </c>
      <c r="K18" s="9"/>
      <c r="L18" s="10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1" t="s">
        <v>27</v>
      </c>
      <c r="J19" s="12">
        <f>J18*0.16</f>
        <v>2864</v>
      </c>
      <c r="L19" s="13"/>
    </row>
    <row r="20" spans="1:12" x14ac:dyDescent="0.2">
      <c r="A20" s="14" t="s">
        <v>28</v>
      </c>
      <c r="B20" s="15"/>
      <c r="C20" s="15"/>
      <c r="D20" s="15"/>
      <c r="E20" s="16"/>
      <c r="F20" s="1"/>
      <c r="G20" s="1"/>
      <c r="H20" s="1"/>
      <c r="I20" s="17" t="s">
        <v>24</v>
      </c>
      <c r="J20" s="18">
        <f>J18+J19</f>
        <v>20764</v>
      </c>
    </row>
    <row r="21" spans="1:12" x14ac:dyDescent="0.2">
      <c r="A21" s="19" t="s">
        <v>29</v>
      </c>
      <c r="B21" s="20"/>
      <c r="C21" s="20"/>
      <c r="D21" s="20"/>
      <c r="E21" s="21"/>
      <c r="F21" s="22"/>
      <c r="G21" s="22"/>
      <c r="H21" s="1"/>
      <c r="I21" s="1"/>
      <c r="J21" s="1"/>
    </row>
  </sheetData>
  <mergeCells count="22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E16:G16"/>
    <mergeCell ref="H16:I16"/>
    <mergeCell ref="C17:H17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1ED6B99-7B80-45FA-A105-A6194678201C}">
      <formula1>INDIRECT(++$B$11)</formula1>
    </dataValidation>
  </dataValidations>
  <hyperlinks>
    <hyperlink ref="A21" r:id="rId1" xr:uid="{2B46612A-A104-4CB5-9712-0CD149B6A928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2026-01-12T19:39:36Z</dcterms:created>
  <dcterms:modified xsi:type="dcterms:W3CDTF">2026-01-19T17:18:41Z</dcterms:modified>
</cp:coreProperties>
</file>