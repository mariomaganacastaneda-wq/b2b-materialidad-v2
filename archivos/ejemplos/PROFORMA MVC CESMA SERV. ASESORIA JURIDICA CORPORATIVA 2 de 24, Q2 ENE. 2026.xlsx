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0FD16EBC-A7F8-479C-8C2A-1976F213DDEE}" xr6:coauthVersionLast="47" xr6:coauthVersionMax="47" xr10:uidLastSave="{00000000-0000-0000-0000-000000000000}"/>
  <bookViews>
    <workbookView xWindow="-108" yWindow="-108" windowWidth="23256" windowHeight="12456" xr2:uid="{EFF9E8C9-F094-4968-A4EE-796E6F48DAE6}"/>
  </bookViews>
  <sheets>
    <sheet name="FACTURA MAGAÑA CESMA JURIDICOS" sheetId="2" r:id="rId1"/>
    <sheet name="FACTURA ANTERIOR" sheetId="1" r:id="rId2"/>
  </sheets>
  <externalReferences>
    <externalReference r:id="rId3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19" i="1"/>
  <c r="J18" i="1"/>
  <c r="J17" i="1"/>
  <c r="J16" i="1"/>
  <c r="J15" i="1"/>
  <c r="J21" i="1" s="1"/>
  <c r="J21" i="2" l="1"/>
  <c r="J22" i="2"/>
  <c r="J23" i="2" s="1"/>
  <c r="J22" i="1"/>
  <c r="J23" i="1" s="1"/>
</calcChain>
</file>

<file path=xl/sharedStrings.xml><?xml version="1.0" encoding="utf-8"?>
<sst xmlns="http://schemas.openxmlformats.org/spreadsheetml/2006/main" count="69" uniqueCount="36">
  <si>
    <t>Empresa que emite:</t>
  </si>
  <si>
    <t>TIPO DE COMPROBANTE</t>
  </si>
  <si>
    <t>INGRESO</t>
  </si>
  <si>
    <t>MAGAÑA Y VIEIRA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</si>
  <si>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</si>
  <si>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</si>
  <si>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</si>
  <si>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</si>
  <si>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</si>
  <si>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</si>
  <si>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</si>
  <si>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</si>
  <si>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</si>
  <si>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</si>
  <si>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</si>
  <si>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</si>
  <si>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</si>
  <si>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</si>
  <si>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</si>
  <si>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</si>
  <si>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</si>
  <si>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</si>
  <si>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</si>
  <si>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</si>
  <si>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</si>
  <si>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</si>
  <si>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</si>
  <si>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</si>
  <si>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</si>
  <si>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</si>
  <si>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</si>
  <si>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1 DE 24 POR SERVICIOS DE ASESORIA JURIDICA CORPORATIVA, SEGUN CONTRATO</t>
  </si>
  <si>
    <t> 80121600 (Servicios legales)</t>
  </si>
  <si>
    <t>Servicios legales Juridicos y coorporativos</t>
  </si>
  <si>
    <t>CARGO QUINCENAL 1 DE 24 POR SERVICIOS Legales y JURIDICOS CORPORATIVOS, SEGUN CONTRATO</t>
  </si>
  <si>
    <t>CARGO QUINCENAL 2 DE 24 POR SERVICIOS LEGALES Y JURIDICOS CORPORATIVOS,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</si>
</sst>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3" fillId="0" borderId="0" xfId="2"/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8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ogle.com/search?q=Servicios+legales&amp;sca_esv=b9caa2c9e6274683&amp;rlz=1C5CHFA_enMX812MX817&amp;ei=laRmabq5GOvHkPIP8dTk8AM&amp;ved=2ahUKEwiowqPKp4mSAxWBKEQIHU-9PWEQgK4QegQIARAB&amp;oq=que+clave+del+sat+es+para+SERVICIOS+DE+ASESORIA+JURIDICA+CORPORATIVA&amp;gs_lp=Egxnd3Mtd2l6LXNlcnAiRHF1ZSBjbGF2ZSBkZWwgc2F0IGVzIHBhcmEgU0VSVklDSU9TIERFIEFTRVNPUklBIEpVUklESUNBIENPUlBPUkFUSVZBSIXWAVAAWOaaAXAAeAGQAQGYAZYDoAGBGaoBCDE5LjkuNC0xuAEMyAEA-AEBmAIDoALJAsICBBAhGAqYAwCSBwMwLjOgB_MxsgcDMC4zuAfJAsIHBTAuMi4xyAcIgAgA&amp;sclient=gws-wiz-serp&amp;mstk=AUtExfBnjtEUIHWYglHtEFqaaXoTc2ZZyJvM6NknrFRNHnUHKQp6qPqX5s6BJpSMV3s4lM1KWsmLZEFn9ryHnOdjRFtOXDAu7GI3dpmneqbOTIvkxRyTtdhnqJyTAv018GTPNSTtksrlzZegzIcc2Wq9A4xXyXzNnIJynaBxs-SlxCOKnZLxERLqCkDeiGvScEnZ_l_dAAyP9OB1lZCGxGmjTzQxaw&amp;csui=3" TargetMode="External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8464-9973-DF4D-92DA-80C6547CED8E}">
  <sheetPr>
    <pageSetUpPr fitToPage="1"/>
  </sheetPr>
  <dimension ref="A1:L24"/>
  <sheetViews>
    <sheetView tabSelected="1" zoomScale="85" zoomScaleNormal="85" workbookViewId="0">
      <selection activeCell="M12" sqref="M12"/>
    </sheetView>
  </sheetViews>
  <sheetFormatPr baseColWidth="10" defaultRowHeight="14.4" x14ac:dyDescent="0.3"/>
  <cols>
    <col min="1" max="1" width="21.44140625" customWidth="1"/>
    <col min="4" max="4" width="6.1093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77734375" bestFit="1" customWidth="1"/>
    <col min="13" max="13" width="33.1093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0</v>
      </c>
      <c r="B2" s="43"/>
      <c r="C2" s="43"/>
      <c r="D2" s="43"/>
      <c r="E2" s="43"/>
      <c r="F2" s="1"/>
      <c r="G2" s="2" t="s">
        <v>1</v>
      </c>
      <c r="H2" s="44" t="s">
        <v>2</v>
      </c>
      <c r="I2" s="44"/>
      <c r="J2" s="44"/>
    </row>
    <row r="3" spans="1:10" x14ac:dyDescent="0.3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4" t="s">
        <v>4</v>
      </c>
      <c r="B4" s="45" t="s">
        <v>5</v>
      </c>
      <c r="C4" s="46"/>
      <c r="D4" s="46"/>
      <c r="E4" s="46"/>
      <c r="F4" s="46"/>
      <c r="G4" s="46"/>
      <c r="H4" s="46"/>
      <c r="I4" s="46"/>
      <c r="J4" s="47"/>
    </row>
    <row r="5" spans="1:10" x14ac:dyDescent="0.3">
      <c r="A5" s="5" t="s">
        <v>6</v>
      </c>
      <c r="B5" s="48" t="s">
        <v>7</v>
      </c>
      <c r="C5" s="49"/>
      <c r="D5" s="49"/>
      <c r="E5" s="49"/>
      <c r="F5" s="49"/>
      <c r="G5" s="50"/>
      <c r="H5" s="51" t="s">
        <v>8</v>
      </c>
      <c r="I5" s="52"/>
      <c r="J5" s="53"/>
    </row>
    <row r="6" spans="1:10" x14ac:dyDescent="0.3">
      <c r="A6" s="28" t="s">
        <v>9</v>
      </c>
      <c r="B6" s="31" t="s">
        <v>10</v>
      </c>
      <c r="C6" s="32"/>
      <c r="D6" s="32"/>
      <c r="E6" s="32"/>
      <c r="F6" s="32"/>
      <c r="G6" s="33"/>
      <c r="H6" s="54"/>
      <c r="I6" s="55"/>
      <c r="J6" s="56"/>
    </row>
    <row r="7" spans="1:10" x14ac:dyDescent="0.3">
      <c r="A7" s="29"/>
      <c r="B7" s="34"/>
      <c r="C7" s="35"/>
      <c r="D7" s="35"/>
      <c r="E7" s="35"/>
      <c r="F7" s="35"/>
      <c r="G7" s="36"/>
      <c r="H7" s="54"/>
      <c r="I7" s="55"/>
      <c r="J7" s="56"/>
    </row>
    <row r="8" spans="1:10" x14ac:dyDescent="0.3">
      <c r="A8" s="30"/>
      <c r="B8" s="37"/>
      <c r="C8" s="38"/>
      <c r="D8" s="38"/>
      <c r="E8" s="38"/>
      <c r="F8" s="38"/>
      <c r="G8" s="39"/>
      <c r="H8" s="54"/>
      <c r="I8" s="55"/>
      <c r="J8" s="56"/>
    </row>
    <row r="9" spans="1:10" x14ac:dyDescent="0.3">
      <c r="A9" s="4" t="s">
        <v>11</v>
      </c>
      <c r="B9" s="40" t="s">
        <v>12</v>
      </c>
      <c r="C9" s="41"/>
      <c r="D9" s="41"/>
      <c r="E9" s="41"/>
      <c r="F9" s="41"/>
      <c r="G9" s="42"/>
      <c r="H9" s="57"/>
      <c r="I9" s="58"/>
      <c r="J9" s="59"/>
    </row>
    <row r="10" spans="1:10" x14ac:dyDescent="0.3">
      <c r="A10" s="6" t="s">
        <v>13</v>
      </c>
      <c r="B10" s="40" t="s">
        <v>14</v>
      </c>
      <c r="C10" s="41"/>
      <c r="D10" s="41"/>
      <c r="E10" s="41"/>
      <c r="F10" s="41"/>
      <c r="G10" s="42"/>
      <c r="H10" s="60" t="s">
        <v>15</v>
      </c>
      <c r="I10" s="61"/>
      <c r="J10" s="62"/>
    </row>
    <row r="11" spans="1:10" x14ac:dyDescent="0.3">
      <c r="A11" s="6" t="s">
        <v>16</v>
      </c>
      <c r="B11" s="40" t="s">
        <v>17</v>
      </c>
      <c r="C11" s="41"/>
      <c r="D11" s="41"/>
      <c r="E11" s="41"/>
      <c r="F11" s="41"/>
      <c r="G11" s="42"/>
      <c r="H11" s="63"/>
      <c r="I11" s="64"/>
      <c r="J11" s="65"/>
    </row>
    <row r="12" spans="1:10" x14ac:dyDescent="0.3">
      <c r="A12" s="6" t="s">
        <v>18</v>
      </c>
      <c r="B12" s="40" t="s">
        <v>19</v>
      </c>
      <c r="C12" s="41"/>
      <c r="D12" s="41"/>
      <c r="E12" s="41"/>
      <c r="F12" s="41"/>
      <c r="G12" s="42"/>
      <c r="H12" s="66"/>
      <c r="I12" s="67"/>
      <c r="J12" s="68"/>
    </row>
    <row r="13" spans="1:10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7" t="s">
        <v>20</v>
      </c>
      <c r="B14" s="7" t="s">
        <v>21</v>
      </c>
      <c r="C14" s="69" t="s">
        <v>22</v>
      </c>
      <c r="D14" s="70"/>
      <c r="E14" s="69" t="s">
        <v>23</v>
      </c>
      <c r="F14" s="71"/>
      <c r="G14" s="70"/>
      <c r="H14" s="69" t="s">
        <v>24</v>
      </c>
      <c r="I14" s="70"/>
      <c r="J14" s="7" t="s">
        <v>25</v>
      </c>
    </row>
    <row r="15" spans="1:10" ht="40.799999999999997" customHeight="1" x14ac:dyDescent="0.3">
      <c r="A15" s="8">
        <v>80121600</v>
      </c>
      <c r="B15" s="9">
        <v>1</v>
      </c>
      <c r="C15" s="72" t="s">
        <v>26</v>
      </c>
      <c r="D15" s="73"/>
      <c r="E15" s="74" t="s">
        <v>35</v>
      </c>
      <c r="F15" s="75"/>
      <c r="G15" s="76"/>
      <c r="H15" s="77">
        <v>19750</v>
      </c>
      <c r="I15" s="78"/>
      <c r="J15" s="10">
        <f t="shared" ref="J15:J19" si="0">B15*H15</f>
        <v>19750</v>
      </c>
    </row>
    <row r="16" spans="1:10" ht="14.55" customHeight="1" x14ac:dyDescent="0.3">
      <c r="A16" s="8"/>
      <c r="B16" s="9"/>
      <c r="C16" s="72"/>
      <c r="D16" s="73"/>
      <c r="E16" s="74"/>
      <c r="F16" s="75"/>
      <c r="G16" s="76"/>
      <c r="H16" s="77"/>
      <c r="I16" s="78"/>
      <c r="J16" s="10">
        <f t="shared" si="0"/>
        <v>0</v>
      </c>
    </row>
    <row r="17" spans="1:12" ht="14.55" customHeight="1" x14ac:dyDescent="0.3">
      <c r="A17" s="8"/>
      <c r="B17" s="9"/>
      <c r="C17" s="72"/>
      <c r="D17" s="73"/>
      <c r="E17" s="74"/>
      <c r="F17" s="75"/>
      <c r="G17" s="76"/>
      <c r="H17" s="77"/>
      <c r="I17" s="78"/>
      <c r="J17" s="10">
        <f t="shared" si="0"/>
        <v>0</v>
      </c>
    </row>
    <row r="18" spans="1:12" ht="14.55" customHeight="1" x14ac:dyDescent="0.3">
      <c r="A18" s="8"/>
      <c r="B18" s="9"/>
      <c r="C18" s="72"/>
      <c r="D18" s="73"/>
      <c r="E18" s="74"/>
      <c r="F18" s="75"/>
      <c r="G18" s="76"/>
      <c r="H18" s="77"/>
      <c r="I18" s="78"/>
      <c r="J18" s="10">
        <f t="shared" si="0"/>
        <v>0</v>
      </c>
    </row>
    <row r="19" spans="1:12" ht="14.55" customHeight="1" x14ac:dyDescent="0.3">
      <c r="A19" s="8"/>
      <c r="B19" s="9"/>
      <c r="C19" s="72"/>
      <c r="D19" s="73"/>
      <c r="E19" s="74"/>
      <c r="F19" s="75"/>
      <c r="G19" s="76"/>
      <c r="H19" s="77"/>
      <c r="I19" s="78"/>
      <c r="J19" s="10">
        <f t="shared" si="0"/>
        <v>0</v>
      </c>
    </row>
    <row r="20" spans="1:12" x14ac:dyDescent="0.3">
      <c r="A20" s="1"/>
      <c r="B20" s="1"/>
      <c r="C20" s="79"/>
      <c r="D20" s="79"/>
      <c r="E20" s="79"/>
      <c r="F20" s="79"/>
      <c r="G20" s="79"/>
      <c r="H20" s="79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19750</v>
      </c>
      <c r="K21" s="13"/>
      <c r="L21" s="14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3160</v>
      </c>
      <c r="L22" s="17"/>
    </row>
    <row r="23" spans="1:12" x14ac:dyDescent="0.3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22910</v>
      </c>
    </row>
    <row r="24" spans="1:12" x14ac:dyDescent="0.3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20:H20"/>
    <mergeCell ref="C17:D17"/>
    <mergeCell ref="E17:G17"/>
    <mergeCell ref="H17:I17"/>
    <mergeCell ref="C18:D18"/>
    <mergeCell ref="E18:G18"/>
    <mergeCell ref="H18:I18"/>
    <mergeCell ref="C19:D19"/>
    <mergeCell ref="E19:G19"/>
    <mergeCell ref="H19:I19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5E9A6199-1150-1849-99CC-66F7762B4E18}">
      <formula1>INDIRECT(++$B$11)</formula1>
    </dataValidation>
  </dataValidations>
  <hyperlinks>
    <hyperlink ref="A24" r:id="rId1" xr:uid="{16116783-FA7D-D942-BAAE-1316EFF0942F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719A-FAC7-42C7-9D06-188A241FC955}">
  <sheetPr>
    <pageSetUpPr fitToPage="1"/>
  </sheetPr>
  <dimension ref="A1:O24"/>
  <sheetViews>
    <sheetView zoomScale="85" zoomScaleNormal="85" workbookViewId="0">
      <selection activeCell="M20" sqref="M20"/>
    </sheetView>
  </sheetViews>
  <sheetFormatPr baseColWidth="10" defaultRowHeight="14.4" x14ac:dyDescent="0.3"/>
  <cols>
    <col min="1" max="1" width="21.44140625" customWidth="1"/>
    <col min="4" max="4" width="6.1093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77734375" bestFit="1" customWidth="1"/>
    <col min="13" max="13" width="33.109375" bestFit="1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3" x14ac:dyDescent="0.3">
      <c r="A2" s="2" t="s">
        <v>0</v>
      </c>
      <c r="B2" s="43"/>
      <c r="C2" s="43"/>
      <c r="D2" s="43"/>
      <c r="E2" s="43"/>
      <c r="F2" s="1"/>
      <c r="G2" s="2" t="s">
        <v>1</v>
      </c>
      <c r="H2" s="44" t="s">
        <v>2</v>
      </c>
      <c r="I2" s="44"/>
      <c r="J2" s="44"/>
    </row>
    <row r="3" spans="1:13" x14ac:dyDescent="0.3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3" x14ac:dyDescent="0.3">
      <c r="A4" s="4" t="s">
        <v>4</v>
      </c>
      <c r="B4" s="45" t="s">
        <v>5</v>
      </c>
      <c r="C4" s="46"/>
      <c r="D4" s="46"/>
      <c r="E4" s="46"/>
      <c r="F4" s="46"/>
      <c r="G4" s="46"/>
      <c r="H4" s="46"/>
      <c r="I4" s="46"/>
      <c r="J4" s="47"/>
    </row>
    <row r="5" spans="1:13" x14ac:dyDescent="0.3">
      <c r="A5" s="5" t="s">
        <v>6</v>
      </c>
      <c r="B5" s="48" t="s">
        <v>7</v>
      </c>
      <c r="C5" s="49"/>
      <c r="D5" s="49"/>
      <c r="E5" s="49"/>
      <c r="F5" s="49"/>
      <c r="G5" s="50"/>
      <c r="H5" s="51" t="s">
        <v>8</v>
      </c>
      <c r="I5" s="52"/>
      <c r="J5" s="53"/>
    </row>
    <row r="6" spans="1:13" x14ac:dyDescent="0.3">
      <c r="A6" s="28" t="s">
        <v>9</v>
      </c>
      <c r="B6" s="31" t="s">
        <v>10</v>
      </c>
      <c r="C6" s="32"/>
      <c r="D6" s="32"/>
      <c r="E6" s="32"/>
      <c r="F6" s="32"/>
      <c r="G6" s="33"/>
      <c r="H6" s="54"/>
      <c r="I6" s="55"/>
      <c r="J6" s="56"/>
    </row>
    <row r="7" spans="1:13" x14ac:dyDescent="0.3">
      <c r="A7" s="29"/>
      <c r="B7" s="34"/>
      <c r="C7" s="35"/>
      <c r="D7" s="35"/>
      <c r="E7" s="35"/>
      <c r="F7" s="35"/>
      <c r="G7" s="36"/>
      <c r="H7" s="54"/>
      <c r="I7" s="55"/>
      <c r="J7" s="56"/>
    </row>
    <row r="8" spans="1:13" x14ac:dyDescent="0.3">
      <c r="A8" s="30"/>
      <c r="B8" s="37"/>
      <c r="C8" s="38"/>
      <c r="D8" s="38"/>
      <c r="E8" s="38"/>
      <c r="F8" s="38"/>
      <c r="G8" s="39"/>
      <c r="H8" s="54"/>
      <c r="I8" s="55"/>
      <c r="J8" s="56"/>
    </row>
    <row r="9" spans="1:13" x14ac:dyDescent="0.3">
      <c r="A9" s="4" t="s">
        <v>11</v>
      </c>
      <c r="B9" s="40" t="s">
        <v>12</v>
      </c>
      <c r="C9" s="41"/>
      <c r="D9" s="41"/>
      <c r="E9" s="41"/>
      <c r="F9" s="41"/>
      <c r="G9" s="42"/>
      <c r="H9" s="57"/>
      <c r="I9" s="58"/>
      <c r="J9" s="59"/>
    </row>
    <row r="10" spans="1:13" x14ac:dyDescent="0.3">
      <c r="A10" s="6" t="s">
        <v>13</v>
      </c>
      <c r="B10" s="40" t="s">
        <v>14</v>
      </c>
      <c r="C10" s="41"/>
      <c r="D10" s="41"/>
      <c r="E10" s="41"/>
      <c r="F10" s="41"/>
      <c r="G10" s="42"/>
      <c r="H10" s="60" t="s">
        <v>15</v>
      </c>
      <c r="I10" s="61"/>
      <c r="J10" s="62"/>
    </row>
    <row r="11" spans="1:13" x14ac:dyDescent="0.3">
      <c r="A11" s="6" t="s">
        <v>16</v>
      </c>
      <c r="B11" s="40" t="s">
        <v>17</v>
      </c>
      <c r="C11" s="41"/>
      <c r="D11" s="41"/>
      <c r="E11" s="41"/>
      <c r="F11" s="41"/>
      <c r="G11" s="42"/>
      <c r="H11" s="63"/>
      <c r="I11" s="64"/>
      <c r="J11" s="65"/>
    </row>
    <row r="12" spans="1:13" x14ac:dyDescent="0.3">
      <c r="A12" s="6" t="s">
        <v>18</v>
      </c>
      <c r="B12" s="40" t="s">
        <v>19</v>
      </c>
      <c r="C12" s="41"/>
      <c r="D12" s="41"/>
      <c r="E12" s="41"/>
      <c r="F12" s="41"/>
      <c r="G12" s="42"/>
      <c r="H12" s="66"/>
      <c r="I12" s="67"/>
      <c r="J12" s="68"/>
    </row>
    <row r="13" spans="1:13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3" x14ac:dyDescent="0.3">
      <c r="A14" s="7" t="s">
        <v>20</v>
      </c>
      <c r="B14" s="7" t="s">
        <v>21</v>
      </c>
      <c r="C14" s="69" t="s">
        <v>22</v>
      </c>
      <c r="D14" s="70"/>
      <c r="E14" s="69" t="s">
        <v>23</v>
      </c>
      <c r="F14" s="71"/>
      <c r="G14" s="70"/>
      <c r="H14" s="69" t="s">
        <v>24</v>
      </c>
      <c r="I14" s="70"/>
      <c r="J14" s="7" t="s">
        <v>25</v>
      </c>
    </row>
    <row r="15" spans="1:13" ht="40.799999999999997" customHeight="1" x14ac:dyDescent="0.3">
      <c r="A15" s="8">
        <v>80121600</v>
      </c>
      <c r="B15" s="9">
        <v>1</v>
      </c>
      <c r="C15" s="72" t="s">
        <v>26</v>
      </c>
      <c r="D15" s="73"/>
      <c r="E15" s="74" t="s">
        <v>31</v>
      </c>
      <c r="F15" s="75"/>
      <c r="G15" s="76"/>
      <c r="H15" s="77">
        <v>19750</v>
      </c>
      <c r="I15" s="78"/>
      <c r="J15" s="10">
        <f t="shared" ref="J15:J19" si="0">B15*H15</f>
        <v>19750</v>
      </c>
      <c r="M15" s="27" t="s">
        <v>32</v>
      </c>
    </row>
    <row r="16" spans="1:13" ht="14.55" customHeight="1" x14ac:dyDescent="0.3">
      <c r="A16" s="8"/>
      <c r="B16" s="9"/>
      <c r="C16" s="72"/>
      <c r="D16" s="73"/>
      <c r="E16" s="74"/>
      <c r="F16" s="75"/>
      <c r="G16" s="76"/>
      <c r="H16" s="77"/>
      <c r="I16" s="78"/>
      <c r="J16" s="10">
        <f t="shared" si="0"/>
        <v>0</v>
      </c>
      <c r="M16" t="s">
        <v>33</v>
      </c>
    </row>
    <row r="17" spans="1:15" ht="14.55" customHeight="1" x14ac:dyDescent="0.3">
      <c r="A17" s="8"/>
      <c r="B17" s="9"/>
      <c r="C17" s="72"/>
      <c r="D17" s="73"/>
      <c r="E17" s="74"/>
      <c r="F17" s="75"/>
      <c r="G17" s="76"/>
      <c r="H17" s="77"/>
      <c r="I17" s="78"/>
      <c r="J17" s="10">
        <f t="shared" si="0"/>
        <v>0</v>
      </c>
      <c r="M17" s="80" t="s">
        <v>34</v>
      </c>
      <c r="N17" s="80"/>
      <c r="O17" s="80"/>
    </row>
    <row r="18" spans="1:15" ht="14.55" customHeight="1" x14ac:dyDescent="0.3">
      <c r="A18" s="8"/>
      <c r="B18" s="9"/>
      <c r="C18" s="72"/>
      <c r="D18" s="73"/>
      <c r="E18" s="74"/>
      <c r="F18" s="75"/>
      <c r="G18" s="76"/>
      <c r="H18" s="77"/>
      <c r="I18" s="78"/>
      <c r="J18" s="10">
        <f t="shared" si="0"/>
        <v>0</v>
      </c>
      <c r="M18" s="81"/>
      <c r="N18" s="81"/>
      <c r="O18" s="81"/>
    </row>
    <row r="19" spans="1:15" ht="14.55" customHeight="1" x14ac:dyDescent="0.3">
      <c r="A19" s="8"/>
      <c r="B19" s="9"/>
      <c r="C19" s="72"/>
      <c r="D19" s="73"/>
      <c r="E19" s="74"/>
      <c r="F19" s="75"/>
      <c r="G19" s="76"/>
      <c r="H19" s="77"/>
      <c r="I19" s="78"/>
      <c r="J19" s="10">
        <f t="shared" si="0"/>
        <v>0</v>
      </c>
      <c r="M19" s="81"/>
      <c r="N19" s="81"/>
      <c r="O19" s="81"/>
    </row>
    <row r="20" spans="1:15" x14ac:dyDescent="0.3">
      <c r="A20" s="1"/>
      <c r="B20" s="1"/>
      <c r="C20" s="79"/>
      <c r="D20" s="79"/>
      <c r="E20" s="79"/>
      <c r="F20" s="79"/>
      <c r="G20" s="79"/>
      <c r="H20" s="79"/>
      <c r="I20" s="1"/>
      <c r="J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19750</v>
      </c>
      <c r="K21" s="13"/>
      <c r="L21" s="14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3160</v>
      </c>
      <c r="L22" s="17"/>
    </row>
    <row r="23" spans="1:15" x14ac:dyDescent="0.3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22910</v>
      </c>
    </row>
    <row r="24" spans="1:15" x14ac:dyDescent="0.3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2"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  <mergeCell ref="C15:D15"/>
    <mergeCell ref="E15:G15"/>
    <mergeCell ref="H15:I15"/>
    <mergeCell ref="C16:D16"/>
    <mergeCell ref="E16:G16"/>
    <mergeCell ref="H16:I16"/>
    <mergeCell ref="M17:O19"/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8DB47572-1667-4C88-9B2A-A83C30028046}">
      <formula1>INDIRECT(++$B$11)</formula1>
    </dataValidation>
  </dataValidations>
  <hyperlinks>
    <hyperlink ref="A24" r:id="rId1" xr:uid="{7D1D955D-DBB8-4DA7-81CD-F4961FB7E9BB}"/>
    <hyperlink ref="M15" r:id="rId2" display="https://www.google.com/search?q=Servicios+legales&amp;sca_esv=b9caa2c9e6274683&amp;rlz=1C5CHFA_enMX812MX817&amp;ei=laRmabq5GOvHkPIP8dTk8AM&amp;ved=2ahUKEwiowqPKp4mSAxWBKEQIHU-9PWEQgK4QegQIARAB&amp;oq=que+clave+del+sat+es+para+SERVICIOS+DE+ASESORIA+JURIDICA+CORPORATIVA&amp;gs_lp=Egxnd3Mtd2l6LXNlcnAiRHF1ZSBjbGF2ZSBkZWwgc2F0IGVzIHBhcmEgU0VSVklDSU9TIERFIEFTRVNPUklBIEpVUklESUNBIENPUlBPUkFUSVZBSIXWAVAAWOaaAXAAeAGQAQGYAZYDoAGBGaoBCDE5LjkuNC0xuAEMyAEA-AEBmAIDoALJAsICBBAhGAqYAwCSBwMwLjOgB_MxsgcDMC4zuAfJAsIHBTAuMi4xyAcIgAgA&amp;sclient=gws-wiz-serp&amp;mstk=AUtExfBnjtEUIHWYglHtEFqaaXoTc2ZZyJvM6NknrFRNHnUHKQp6qPqX5s6BJpSMV3s4lM1KWsmLZEFn9ryHnOdjRFtOXDAu7GI3dpmneqbOTIvkxRyTtdhnqJyTAv018GTPNSTtksrlzZegzIcc2Wq9A4xXyXzNnIJynaBxs-SlxCOKnZLxERLqCkDeiGvScEnZ_l_dAAyP9OB1lZCGxGmjTzQxaw&amp;csui=3" xr:uid="{C24DA344-A079-694E-A999-BEA63EA414AB}"/>
  </hyperlinks>
  <pageMargins left="0.70866141732283472" right="0.70866141732283472" top="0.74803149606299213" bottom="0.74803149606299213" header="0.31496062992125984" footer="0.31496062992125984"/>
  <pageSetup scale="88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 MAGAÑA CESMA JURIDICOS</vt:lpstr>
      <vt:lpstr>FACTURA 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2026-01-12T19:52:53Z</dcterms:created>
  <dcterms:modified xsi:type="dcterms:W3CDTF">2026-01-17T16:51:55Z</dcterms:modified>
</cp:coreProperties>
</file>