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2C66D1F4-D814-0D47-9851-6A2DDB3D5384}" xr6:coauthVersionLast="47" xr6:coauthVersionMax="47" xr10:uidLastSave="{00000000-0000-0000-0000-000000000000}"/>
  <bookViews>
    <workbookView xWindow="11960" yWindow="500" windowWidth="16380" windowHeight="12800" xr2:uid="{9BED9E8C-99F0-423B-AA18-3FED5D26B6A3}"/>
  </bookViews>
  <sheets>
    <sheet name="MVA CESMA ASESORIA FISCAL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21" i="1" l="1"/>
  <c r="J22" i="1" s="1"/>
  <c r="J23" i="1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<sst xmlns="http://schemas.openxmlformats.org/spreadsheetml/2006/main" count="33" uniqueCount="32">
  <si>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</si>
  <si>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</si>
  <si>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</si>
  <si>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</si>
  <si>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</si>
  <si>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</si>
  <si>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</si>
  <si>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</si>
  <si>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</si>
  <si>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</si>
  <si>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</si>
  <si>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</si>
  <si>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</si>
  <si>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</si>
  <si>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</si>
  <si>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</si>
  <si>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</si>
  <si>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</si>
  <si>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</si>
  <si>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</si>
  <si>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</si>
  <si>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</si>
  <si>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</si>
  <si>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</si>
  <si>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</si>
  <si>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</si>
  <si>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</si>
  <si>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</si>
  <si>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</si>
  <si>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</si>
  <si>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2 DE 24 POR SERVICIOS DE ASESORIA FISCAL, SEGUN CONTRATO</t>
  </si>
  <si>
    <t>MAGAÑA, VIEIRA Y CUEVAS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</si>
</sst>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29883</xdr:colOff>
      <xdr:row>0</xdr:row>
      <xdr:rowOff>44823</xdr:rowOff>
    </xdr:from>
    <xdr:to>
      <xdr:col>0</xdr:col>
      <xdr:colOff>747060</xdr:colOff>
      <xdr:row>3</xdr:row>
      <xdr:rowOff>179294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00088D-DB91-D9B7-23E4-0CA1B7A9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83" y="44823"/>
          <a:ext cx="717177" cy="7171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0B40-DA37-489A-A640-0A9192E627A6}">
  <sheetPr>
    <pageSetUpPr fitToPage="1"/>
  </sheetPr>
  <dimension ref="A4:L24"/>
  <sheetViews>
    <sheetView tabSelected="1" zoomScale="85" zoomScaleNormal="85" workbookViewId="0">
      <selection activeCell="A8" sqref="A8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22" t="s">
        <v>0</v>
      </c>
      <c r="B5" s="41"/>
      <c r="C5" s="41"/>
      <c r="D5" s="41"/>
      <c r="E5" s="41"/>
      <c r="F5" s="1"/>
      <c r="G5" s="22" t="s">
        <v>1</v>
      </c>
      <c r="H5" s="42" t="s">
        <v>2</v>
      </c>
      <c r="I5" s="42"/>
      <c r="J5" s="42"/>
    </row>
    <row r="6" spans="1:10" x14ac:dyDescent="0.2">
      <c r="A6" s="2"/>
      <c r="B6" s="2" t="s">
        <v>31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22" t="s">
        <v>3</v>
      </c>
      <c r="B7" s="43" t="s">
        <v>4</v>
      </c>
      <c r="C7" s="44"/>
      <c r="D7" s="44"/>
      <c r="E7" s="44"/>
      <c r="F7" s="44"/>
      <c r="G7" s="44"/>
      <c r="H7" s="44"/>
      <c r="I7" s="44"/>
      <c r="J7" s="45"/>
    </row>
    <row r="8" spans="1:10" x14ac:dyDescent="0.2">
      <c r="A8" s="23" t="s">
        <v>5</v>
      </c>
      <c r="B8" s="46" t="s">
        <v>6</v>
      </c>
      <c r="C8" s="47"/>
      <c r="D8" s="47"/>
      <c r="E8" s="47"/>
      <c r="F8" s="47"/>
      <c r="G8" s="48"/>
      <c r="H8" s="49" t="s">
        <v>7</v>
      </c>
      <c r="I8" s="50"/>
      <c r="J8" s="51"/>
    </row>
    <row r="9" spans="1:10" x14ac:dyDescent="0.2">
      <c r="A9" s="26" t="s">
        <v>8</v>
      </c>
      <c r="B9" s="29" t="s">
        <v>9</v>
      </c>
      <c r="C9" s="30"/>
      <c r="D9" s="30"/>
      <c r="E9" s="30"/>
      <c r="F9" s="30"/>
      <c r="G9" s="31"/>
      <c r="H9" s="52"/>
      <c r="I9" s="53"/>
      <c r="J9" s="54"/>
    </row>
    <row r="10" spans="1:10" x14ac:dyDescent="0.2">
      <c r="A10" s="27"/>
      <c r="B10" s="32"/>
      <c r="C10" s="33"/>
      <c r="D10" s="33"/>
      <c r="E10" s="33"/>
      <c r="F10" s="33"/>
      <c r="G10" s="34"/>
      <c r="H10" s="52"/>
      <c r="I10" s="53"/>
      <c r="J10" s="54"/>
    </row>
    <row r="11" spans="1:10" x14ac:dyDescent="0.2">
      <c r="A11" s="28"/>
      <c r="B11" s="35"/>
      <c r="C11" s="36"/>
      <c r="D11" s="36"/>
      <c r="E11" s="36"/>
      <c r="F11" s="36"/>
      <c r="G11" s="37"/>
      <c r="H11" s="52"/>
      <c r="I11" s="53"/>
      <c r="J11" s="54"/>
    </row>
    <row r="12" spans="1:10" x14ac:dyDescent="0.2">
      <c r="A12" s="22" t="s">
        <v>10</v>
      </c>
      <c r="B12" s="38" t="s">
        <v>11</v>
      </c>
      <c r="C12" s="39"/>
      <c r="D12" s="39"/>
      <c r="E12" s="39"/>
      <c r="F12" s="39"/>
      <c r="G12" s="40"/>
      <c r="H12" s="55"/>
      <c r="I12" s="56"/>
      <c r="J12" s="57"/>
    </row>
    <row r="13" spans="1:10" x14ac:dyDescent="0.2">
      <c r="A13" s="24" t="s">
        <v>12</v>
      </c>
      <c r="B13" s="38" t="s">
        <v>13</v>
      </c>
      <c r="C13" s="39"/>
      <c r="D13" s="39"/>
      <c r="E13" s="39"/>
      <c r="F13" s="39"/>
      <c r="G13" s="40"/>
      <c r="H13" s="58" t="s">
        <v>14</v>
      </c>
      <c r="I13" s="59"/>
      <c r="J13" s="60"/>
    </row>
    <row r="14" spans="1:10" x14ac:dyDescent="0.2">
      <c r="A14" s="24" t="s">
        <v>15</v>
      </c>
      <c r="B14" s="38" t="s">
        <v>16</v>
      </c>
      <c r="C14" s="39"/>
      <c r="D14" s="39"/>
      <c r="E14" s="39"/>
      <c r="F14" s="39"/>
      <c r="G14" s="40"/>
      <c r="H14" s="61"/>
      <c r="I14" s="62"/>
      <c r="J14" s="63"/>
    </row>
    <row r="15" spans="1:10" x14ac:dyDescent="0.2">
      <c r="A15" s="24" t="s">
        <v>17</v>
      </c>
      <c r="B15" s="38" t="s">
        <v>18</v>
      </c>
      <c r="C15" s="39"/>
      <c r="D15" s="39"/>
      <c r="E15" s="39"/>
      <c r="F15" s="39"/>
      <c r="G15" s="40"/>
      <c r="H15" s="64"/>
      <c r="I15" s="65"/>
      <c r="J15" s="66"/>
    </row>
    <row r="16" spans="1:10" x14ac:dyDescent="0.2">
      <c r="A16" s="1"/>
      <c r="B16" s="2"/>
      <c r="C16" s="1"/>
      <c r="D16" s="1"/>
      <c r="E16" s="1"/>
      <c r="F16" s="1"/>
      <c r="G16" s="1"/>
      <c r="H16" s="1"/>
      <c r="I16" s="1"/>
      <c r="J16" s="1"/>
    </row>
    <row r="17" spans="1:12" x14ac:dyDescent="0.2">
      <c r="A17" s="25" t="s">
        <v>19</v>
      </c>
      <c r="B17" s="25" t="s">
        <v>20</v>
      </c>
      <c r="C17" s="67" t="s">
        <v>21</v>
      </c>
      <c r="D17" s="68"/>
      <c r="E17" s="67" t="s">
        <v>22</v>
      </c>
      <c r="F17" s="69"/>
      <c r="G17" s="68"/>
      <c r="H17" s="67" t="s">
        <v>23</v>
      </c>
      <c r="I17" s="68"/>
      <c r="J17" s="25" t="s">
        <v>24</v>
      </c>
    </row>
    <row r="18" spans="1:12" ht="40.75" customHeight="1" x14ac:dyDescent="0.2">
      <c r="A18" s="3">
        <v>84101600</v>
      </c>
      <c r="B18" s="4">
        <v>1</v>
      </c>
      <c r="C18" s="70" t="s">
        <v>25</v>
      </c>
      <c r="D18" s="71"/>
      <c r="E18" s="72" t="s">
        <v>30</v>
      </c>
      <c r="F18" s="73"/>
      <c r="G18" s="74"/>
      <c r="H18" s="75">
        <v>16400</v>
      </c>
      <c r="I18" s="76"/>
      <c r="J18" s="5">
        <f t="shared" ref="J18:J19" si="0">B18*H18</f>
        <v>16400</v>
      </c>
    </row>
    <row r="19" spans="1:12" ht="14.5" customHeight="1" x14ac:dyDescent="0.2">
      <c r="A19" s="3"/>
      <c r="B19" s="4"/>
      <c r="C19" s="70"/>
      <c r="D19" s="71"/>
      <c r="E19" s="72"/>
      <c r="F19" s="73"/>
      <c r="G19" s="74"/>
      <c r="H19" s="75"/>
      <c r="I19" s="76"/>
      <c r="J19" s="5">
        <f t="shared" si="0"/>
        <v>0</v>
      </c>
    </row>
    <row r="20" spans="1:12" x14ac:dyDescent="0.2">
      <c r="A20" s="1"/>
      <c r="B20" s="1"/>
      <c r="C20" s="77"/>
      <c r="D20" s="77"/>
      <c r="E20" s="77"/>
      <c r="F20" s="77"/>
      <c r="G20" s="77"/>
      <c r="H20" s="77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6" t="s">
        <v>26</v>
      </c>
      <c r="J21" s="7">
        <f>SUM(J18:J20)</f>
        <v>16400</v>
      </c>
      <c r="K21" s="8"/>
      <c r="L21" s="9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0" t="s">
        <v>27</v>
      </c>
      <c r="J22" s="11">
        <f>J21*0.16</f>
        <v>2624</v>
      </c>
      <c r="L22" s="12"/>
    </row>
    <row r="23" spans="1:12" x14ac:dyDescent="0.2">
      <c r="A23" s="13" t="s">
        <v>28</v>
      </c>
      <c r="B23" s="14"/>
      <c r="C23" s="14"/>
      <c r="D23" s="14"/>
      <c r="E23" s="15"/>
      <c r="F23" s="1"/>
      <c r="G23" s="1"/>
      <c r="H23" s="1"/>
      <c r="I23" s="16" t="s">
        <v>24</v>
      </c>
      <c r="J23" s="17">
        <f>J21+J22</f>
        <v>19024</v>
      </c>
    </row>
    <row r="24" spans="1:12" x14ac:dyDescent="0.2">
      <c r="A24" s="18" t="s">
        <v>29</v>
      </c>
      <c r="B24" s="19"/>
      <c r="C24" s="19"/>
      <c r="D24" s="19"/>
      <c r="E24" s="20"/>
      <c r="F24" s="21"/>
      <c r="G24" s="21"/>
      <c r="H24" s="1"/>
      <c r="I24" s="1"/>
      <c r="J24" s="1"/>
    </row>
  </sheetData>
  <mergeCells count="22">
    <mergeCell ref="C20:H20"/>
    <mergeCell ref="C18:D18"/>
    <mergeCell ref="E18:G18"/>
    <mergeCell ref="H18:I18"/>
    <mergeCell ref="C19:D19"/>
    <mergeCell ref="E19:G19"/>
    <mergeCell ref="H19:I19"/>
    <mergeCell ref="B13:G13"/>
    <mergeCell ref="H13:J15"/>
    <mergeCell ref="B14:G14"/>
    <mergeCell ref="B15:G15"/>
    <mergeCell ref="C17:D17"/>
    <mergeCell ref="E17:G17"/>
    <mergeCell ref="H17:I17"/>
    <mergeCell ref="A9:A11"/>
    <mergeCell ref="B9:G11"/>
    <mergeCell ref="B12:G12"/>
    <mergeCell ref="B5:E5"/>
    <mergeCell ref="H5:J5"/>
    <mergeCell ref="B7:J7"/>
    <mergeCell ref="B8:G8"/>
    <mergeCell ref="H8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5:G15" xr:uid="{B91AB1A8-22BB-4081-8909-8E7921D20F54}">
      <formula1>INDIRECT(++$B$14)</formula1>
    </dataValidation>
  </dataValidations>
  <hyperlinks>
    <hyperlink ref="A24" r:id="rId1" xr:uid="{A8648EE2-4386-4BD3-9C77-43C1E4C74CDB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MVA CESMA ASESORIA FISCAL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2026-02-03T23:57:04Z</dcterms:modified>
</cp:coreProperties>
</file>