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Proformas CESAMA/"/>
    </mc:Choice>
  </mc:AlternateContent>
  <xr:revisionPtr revIDLastSave="0" documentId="13_ncr:1_{058B3801-1E0E-5A4C-8165-CB2DDA61D4A3}" xr6:coauthVersionLast="47" xr6:coauthVersionMax="47" xr10:uidLastSave="{00000000-0000-0000-0000-000000000000}"/>
  <bookViews>
    <workbookView xWindow="780" yWindow="940" windowWidth="23260" windowHeight="12460" xr2:uid="{3D044F6E-E3DB-4B2A-B846-EE622570E130}"/>
  </bookViews>
  <sheets>
    <sheet name="SEIDCO CESMA Limpieza 20764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20" i="1" s="1"/>
  <c r="J21" i="1" l="1"/>
  <c r="J22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<sst xmlns="http://schemas.openxmlformats.org/spreadsheetml/2006/main" count="33" uniqueCount="32">
  <si>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</si>
  <si>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</si>
  <si>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</si>
  <si>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</si>
  <si>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</si>
  <si>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</si>
  <si>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</si>
  <si>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</si>
  <si>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</si>
  <si>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</si>
  <si>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</si>
  <si>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</si>
  <si>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</si>
  <si>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</si>
  <si>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</si>
  <si>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</si>
  <si>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</si>
  <si>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</si>
  <si>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</si>
  <si>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</si>
  <si>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</si>
  <si>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</si>
  <si>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</si>
  <si>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</si>
  <si>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</si>
  <si>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</si>
  <si>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</si>
  <si>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</si>
  <si>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</si>
  <si>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</si>
  <si>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SEIDCO</t>
  </si>
  <si>
    <t>PAGOS 2da QUINCENAL DE 24 CONFORME AL CONTRATO DE SERVICIOS DE LIMPIEZA Y CONSERVACION DE OFICINAS.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</si>
</sst>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687296</xdr:colOff>
      <xdr:row>2</xdr:row>
      <xdr:rowOff>178744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1D8168-87E0-367B-5C26-FE0AB252B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330824" cy="5672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3"/>
  <sheetViews>
    <sheetView tabSelected="1" zoomScale="85" zoomScaleNormal="85" workbookViewId="0">
      <selection activeCell="A8" sqref="A8:A10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22" t="s">
        <v>0</v>
      </c>
      <c r="B4" s="61"/>
      <c r="C4" s="61"/>
      <c r="D4" s="61"/>
      <c r="E4" s="61"/>
      <c r="F4" s="1"/>
      <c r="G4" s="22" t="s">
        <v>1</v>
      </c>
      <c r="H4" s="62" t="s">
        <v>2</v>
      </c>
      <c r="I4" s="62"/>
      <c r="J4" s="62"/>
    </row>
    <row r="5" spans="1:10" x14ac:dyDescent="0.2">
      <c r="A5" s="2"/>
      <c r="B5" s="2" t="s">
        <v>30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2" t="s">
        <v>3</v>
      </c>
      <c r="B6" s="63" t="s">
        <v>4</v>
      </c>
      <c r="C6" s="64"/>
      <c r="D6" s="64"/>
      <c r="E6" s="64"/>
      <c r="F6" s="64"/>
      <c r="G6" s="64"/>
      <c r="H6" s="64"/>
      <c r="I6" s="64"/>
      <c r="J6" s="65"/>
    </row>
    <row r="7" spans="1:10" x14ac:dyDescent="0.2">
      <c r="A7" s="23" t="s">
        <v>5</v>
      </c>
      <c r="B7" s="66" t="s">
        <v>6</v>
      </c>
      <c r="C7" s="67"/>
      <c r="D7" s="67"/>
      <c r="E7" s="67"/>
      <c r="F7" s="67"/>
      <c r="G7" s="68"/>
      <c r="H7" s="69" t="s">
        <v>7</v>
      </c>
      <c r="I7" s="70"/>
      <c r="J7" s="71"/>
    </row>
    <row r="8" spans="1:10" x14ac:dyDescent="0.2">
      <c r="A8" s="49" t="s">
        <v>8</v>
      </c>
      <c r="B8" s="52" t="s">
        <v>9</v>
      </c>
      <c r="C8" s="53"/>
      <c r="D8" s="53"/>
      <c r="E8" s="53"/>
      <c r="F8" s="53"/>
      <c r="G8" s="54"/>
      <c r="H8" s="72"/>
      <c r="I8" s="73"/>
      <c r="J8" s="74"/>
    </row>
    <row r="9" spans="1:10" x14ac:dyDescent="0.2">
      <c r="A9" s="50"/>
      <c r="B9" s="55"/>
      <c r="C9" s="56"/>
      <c r="D9" s="56"/>
      <c r="E9" s="56"/>
      <c r="F9" s="56"/>
      <c r="G9" s="57"/>
      <c r="H9" s="72"/>
      <c r="I9" s="73"/>
      <c r="J9" s="74"/>
    </row>
    <row r="10" spans="1:10" x14ac:dyDescent="0.2">
      <c r="A10" s="51"/>
      <c r="B10" s="58"/>
      <c r="C10" s="59"/>
      <c r="D10" s="59"/>
      <c r="E10" s="59"/>
      <c r="F10" s="59"/>
      <c r="G10" s="60"/>
      <c r="H10" s="72"/>
      <c r="I10" s="73"/>
      <c r="J10" s="74"/>
    </row>
    <row r="11" spans="1:10" x14ac:dyDescent="0.2">
      <c r="A11" s="22" t="s">
        <v>10</v>
      </c>
      <c r="B11" s="34" t="s">
        <v>11</v>
      </c>
      <c r="C11" s="35"/>
      <c r="D11" s="35"/>
      <c r="E11" s="35"/>
      <c r="F11" s="35"/>
      <c r="G11" s="36"/>
      <c r="H11" s="75"/>
      <c r="I11" s="76"/>
      <c r="J11" s="77"/>
    </row>
    <row r="12" spans="1:10" x14ac:dyDescent="0.2">
      <c r="A12" s="24" t="s">
        <v>12</v>
      </c>
      <c r="B12" s="34" t="s">
        <v>13</v>
      </c>
      <c r="C12" s="35"/>
      <c r="D12" s="35"/>
      <c r="E12" s="35"/>
      <c r="F12" s="35"/>
      <c r="G12" s="36"/>
      <c r="H12" s="37" t="s">
        <v>14</v>
      </c>
      <c r="I12" s="38"/>
      <c r="J12" s="39"/>
    </row>
    <row r="13" spans="1:10" x14ac:dyDescent="0.2">
      <c r="A13" s="24" t="s">
        <v>15</v>
      </c>
      <c r="B13" s="34" t="s">
        <v>16</v>
      </c>
      <c r="C13" s="35"/>
      <c r="D13" s="35"/>
      <c r="E13" s="35"/>
      <c r="F13" s="35"/>
      <c r="G13" s="36"/>
      <c r="H13" s="40"/>
      <c r="I13" s="41"/>
      <c r="J13" s="42"/>
    </row>
    <row r="14" spans="1:10" x14ac:dyDescent="0.2">
      <c r="A14" s="24" t="s">
        <v>17</v>
      </c>
      <c r="B14" s="34" t="s">
        <v>18</v>
      </c>
      <c r="C14" s="35"/>
      <c r="D14" s="35"/>
      <c r="E14" s="35"/>
      <c r="F14" s="35"/>
      <c r="G14" s="36"/>
      <c r="H14" s="43"/>
      <c r="I14" s="44"/>
      <c r="J14" s="45"/>
    </row>
    <row r="15" spans="1:10" x14ac:dyDescent="0.2">
      <c r="A15" s="1"/>
      <c r="B15" s="2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25" t="s">
        <v>19</v>
      </c>
      <c r="B16" s="25" t="s">
        <v>20</v>
      </c>
      <c r="C16" s="46" t="s">
        <v>21</v>
      </c>
      <c r="D16" s="47"/>
      <c r="E16" s="46" t="s">
        <v>22</v>
      </c>
      <c r="F16" s="48"/>
      <c r="G16" s="47"/>
      <c r="H16" s="46" t="s">
        <v>23</v>
      </c>
      <c r="I16" s="47"/>
      <c r="J16" s="25" t="s">
        <v>24</v>
      </c>
    </row>
    <row r="17" spans="1:12" ht="40.75" customHeight="1" x14ac:dyDescent="0.2">
      <c r="A17" s="3">
        <v>76111500</v>
      </c>
      <c r="B17" s="4">
        <v>1</v>
      </c>
      <c r="C17" s="27" t="s">
        <v>25</v>
      </c>
      <c r="D17" s="28"/>
      <c r="E17" s="29" t="s">
        <v>31</v>
      </c>
      <c r="F17" s="30"/>
      <c r="G17" s="31"/>
      <c r="H17" s="32">
        <v>17900</v>
      </c>
      <c r="I17" s="33"/>
      <c r="J17" s="5">
        <f t="shared" ref="J17:J18" si="0">B17*H17</f>
        <v>17900</v>
      </c>
    </row>
    <row r="18" spans="1:12" ht="14.5" customHeight="1" x14ac:dyDescent="0.2">
      <c r="A18" s="3"/>
      <c r="B18" s="4"/>
      <c r="C18" s="27"/>
      <c r="D18" s="28"/>
      <c r="E18" s="29"/>
      <c r="F18" s="30"/>
      <c r="G18" s="31"/>
      <c r="H18" s="32"/>
      <c r="I18" s="33"/>
      <c r="J18" s="5">
        <f t="shared" si="0"/>
        <v>0</v>
      </c>
    </row>
    <row r="19" spans="1:12" x14ac:dyDescent="0.2">
      <c r="A19" s="1"/>
      <c r="B19" s="1"/>
      <c r="C19" s="26"/>
      <c r="D19" s="26"/>
      <c r="E19" s="26"/>
      <c r="F19" s="26"/>
      <c r="G19" s="26"/>
      <c r="H19" s="26"/>
      <c r="I19" s="1"/>
      <c r="J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6" t="s">
        <v>26</v>
      </c>
      <c r="J20" s="7">
        <f>SUM(J17:J19)</f>
        <v>17900</v>
      </c>
      <c r="K20" s="8"/>
      <c r="L20" s="9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0" t="s">
        <v>27</v>
      </c>
      <c r="J21" s="11">
        <f>J20*0.16</f>
        <v>2864</v>
      </c>
      <c r="L21" s="12"/>
    </row>
    <row r="22" spans="1:12" x14ac:dyDescent="0.2">
      <c r="A22" s="13" t="s">
        <v>28</v>
      </c>
      <c r="B22" s="14"/>
      <c r="C22" s="14"/>
      <c r="D22" s="14"/>
      <c r="E22" s="15"/>
      <c r="F22" s="1"/>
      <c r="G22" s="1"/>
      <c r="H22" s="1"/>
      <c r="I22" s="16" t="s">
        <v>24</v>
      </c>
      <c r="J22" s="17">
        <f>J20+J21</f>
        <v>20764</v>
      </c>
    </row>
    <row r="23" spans="1:12" x14ac:dyDescent="0.2">
      <c r="A23" s="18" t="s">
        <v>29</v>
      </c>
      <c r="B23" s="19"/>
      <c r="C23" s="19"/>
      <c r="D23" s="19"/>
      <c r="E23" s="20"/>
      <c r="F23" s="21"/>
      <c r="G23" s="21"/>
      <c r="H23" s="1"/>
      <c r="I23" s="1"/>
      <c r="J23" s="1"/>
    </row>
  </sheetData>
  <mergeCells count="22">
    <mergeCell ref="A8:A10"/>
    <mergeCell ref="B8:G10"/>
    <mergeCell ref="B11:G11"/>
    <mergeCell ref="B4:E4"/>
    <mergeCell ref="H4:J4"/>
    <mergeCell ref="B6:J6"/>
    <mergeCell ref="B7:G7"/>
    <mergeCell ref="H7:J11"/>
    <mergeCell ref="B12:G12"/>
    <mergeCell ref="H12:J14"/>
    <mergeCell ref="B13:G13"/>
    <mergeCell ref="B14:G14"/>
    <mergeCell ref="C16:D16"/>
    <mergeCell ref="E16:G16"/>
    <mergeCell ref="H16:I16"/>
    <mergeCell ref="C19:H19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81ED6B99-7B80-45FA-A105-A6194678201C}">
      <formula1>INDIRECT(++$B$13)</formula1>
    </dataValidation>
  </dataValidations>
  <hyperlinks>
    <hyperlink ref="A23" r:id="rId1" xr:uid="{2B46612A-A104-4CB5-9712-0CD149B6A928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SEIDCO CESMA Limpieza 20764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2026-01-12T19:39:36Z</dcterms:created>
  <dcterms:modified xsi:type="dcterms:W3CDTF">2026-01-22T18:11:53Z</dcterms:modified>
</cp:coreProperties>
</file>