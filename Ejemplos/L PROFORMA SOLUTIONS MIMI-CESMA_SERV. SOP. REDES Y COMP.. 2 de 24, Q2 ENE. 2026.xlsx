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DE4B6013-9ABA-F242-95C0-4DD187CF8E41}" xr6:coauthVersionLast="47" xr6:coauthVersionMax="47" xr10:uidLastSave="{00000000-0000-0000-0000-000000000000}"/>
  <bookViews>
    <workbookView xWindow="0" yWindow="500" windowWidth="23260" windowHeight="12460" xr2:uid="{A139F08B-915B-4139-8C59-72DEF5FE3A08}"/>
  </bookViews>
  <sheets>
    <sheet name="MIMI CESMA  soporte a redes LAN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J17" i="2"/>
  <c r="J20" i="2" s="1"/>
  <c r="J21" i="2" l="1"/>
  <c r="J22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<sst xmlns="http://schemas.openxmlformats.org/spreadsheetml/2006/main" count="33" uniqueCount="32">
  <si>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</si>
  <si>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</si>
  <si>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</si>
  <si>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</si>
  <si>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</si>
  <si>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</si>
  <si>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</si>
  <si>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</si>
  <si>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</si>
  <si>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</si>
  <si>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</si>
  <si>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</si>
  <si>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</si>
  <si>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</si>
  <si>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</si>
  <si>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</si>
  <si>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</si>
  <si>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</si>
  <si>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</si>
  <si>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</si>
  <si>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</si>
  <si>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</si>
  <si>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</si>
  <si>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</si>
  <si>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</si>
  <si>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</si>
  <si>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</si>
  <si>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</si>
  <si>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</si>
  <si>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</si>
  <si>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SOLUTIONS MIMI</t>
  </si>
  <si>
    <t>2do. de 24 PAGOS, QUINCENALES DEL AÑO 2026, DE ACUERDO AL CONTRATO  POR SERVICIOS DE SOPORTE A REDES DE AREA LOCAL Y COMPUTADORAS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</si>
</sst>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001D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7" fillId="0" borderId="0" xfId="0" applyFont="1"/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4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74706</xdr:colOff>
      <xdr:row>0</xdr:row>
      <xdr:rowOff>0</xdr:rowOff>
    </xdr:from>
    <xdr:to>
      <xdr:col>1</xdr:col>
      <xdr:colOff>344991</xdr:colOff>
      <xdr:row>2</xdr:row>
      <xdr:rowOff>179294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17F3A5-154B-765F-4256-704830D42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06" y="0"/>
          <a:ext cx="1913814" cy="5677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6A9B-8657-144E-830D-D13D353C4BD7}">
  <sheetPr>
    <pageSetUpPr fitToPage="1"/>
  </sheetPr>
  <dimension ref="A4:T23"/>
  <sheetViews>
    <sheetView tabSelected="1" zoomScale="85" zoomScaleNormal="85" workbookViewId="0">
      <selection activeCell="J22" sqref="J22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4" spans="1:10" x14ac:dyDescent="0.2">
      <c r="A4" s="2" t="s">
        <v>0</v>
      </c>
      <c r="B4" s="67"/>
      <c r="C4" s="67"/>
      <c r="D4" s="67"/>
      <c r="E4" s="67"/>
      <c r="F4" s="1"/>
      <c r="G4" s="27" t="s">
        <v>1</v>
      </c>
      <c r="H4" s="68" t="s">
        <v>2</v>
      </c>
      <c r="I4" s="68"/>
      <c r="J4" s="68"/>
    </row>
    <row r="5" spans="1:10" x14ac:dyDescent="0.2">
      <c r="A5" s="3"/>
      <c r="B5" s="3" t="s">
        <v>30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27" t="s">
        <v>3</v>
      </c>
      <c r="B6" s="69" t="s">
        <v>4</v>
      </c>
      <c r="C6" s="70"/>
      <c r="D6" s="70"/>
      <c r="E6" s="70"/>
      <c r="F6" s="70"/>
      <c r="G6" s="70"/>
      <c r="H6" s="70"/>
      <c r="I6" s="70"/>
      <c r="J6" s="71"/>
    </row>
    <row r="7" spans="1:10" x14ac:dyDescent="0.2">
      <c r="A7" s="28" t="s">
        <v>5</v>
      </c>
      <c r="B7" s="72" t="s">
        <v>6</v>
      </c>
      <c r="C7" s="73"/>
      <c r="D7" s="73"/>
      <c r="E7" s="73"/>
      <c r="F7" s="73"/>
      <c r="G7" s="74"/>
      <c r="H7" s="75" t="s">
        <v>7</v>
      </c>
      <c r="I7" s="76"/>
      <c r="J7" s="77"/>
    </row>
    <row r="8" spans="1:10" x14ac:dyDescent="0.2">
      <c r="A8" s="55" t="s">
        <v>8</v>
      </c>
      <c r="B8" s="58" t="s">
        <v>9</v>
      </c>
      <c r="C8" s="59"/>
      <c r="D8" s="59"/>
      <c r="E8" s="59"/>
      <c r="F8" s="59"/>
      <c r="G8" s="60"/>
      <c r="H8" s="78"/>
      <c r="I8" s="79"/>
      <c r="J8" s="80"/>
    </row>
    <row r="9" spans="1:10" x14ac:dyDescent="0.2">
      <c r="A9" s="56"/>
      <c r="B9" s="61"/>
      <c r="C9" s="62"/>
      <c r="D9" s="62"/>
      <c r="E9" s="62"/>
      <c r="F9" s="62"/>
      <c r="G9" s="63"/>
      <c r="H9" s="78"/>
      <c r="I9" s="79"/>
      <c r="J9" s="80"/>
    </row>
    <row r="10" spans="1:10" x14ac:dyDescent="0.2">
      <c r="A10" s="57"/>
      <c r="B10" s="64"/>
      <c r="C10" s="65"/>
      <c r="D10" s="65"/>
      <c r="E10" s="65"/>
      <c r="F10" s="65"/>
      <c r="G10" s="66"/>
      <c r="H10" s="78"/>
      <c r="I10" s="79"/>
      <c r="J10" s="80"/>
    </row>
    <row r="11" spans="1:10" x14ac:dyDescent="0.2">
      <c r="A11" s="27" t="s">
        <v>10</v>
      </c>
      <c r="B11" s="40" t="s">
        <v>11</v>
      </c>
      <c r="C11" s="41"/>
      <c r="D11" s="41"/>
      <c r="E11" s="41"/>
      <c r="F11" s="41"/>
      <c r="G11" s="42"/>
      <c r="H11" s="81"/>
      <c r="I11" s="82"/>
      <c r="J11" s="83"/>
    </row>
    <row r="12" spans="1:10" x14ac:dyDescent="0.2">
      <c r="A12" s="29" t="s">
        <v>12</v>
      </c>
      <c r="B12" s="40" t="s">
        <v>13</v>
      </c>
      <c r="C12" s="41"/>
      <c r="D12" s="41"/>
      <c r="E12" s="41"/>
      <c r="F12" s="41"/>
      <c r="G12" s="42"/>
      <c r="H12" s="43" t="s">
        <v>14</v>
      </c>
      <c r="I12" s="44"/>
      <c r="J12" s="45"/>
    </row>
    <row r="13" spans="1:10" x14ac:dyDescent="0.2">
      <c r="A13" s="29" t="s">
        <v>15</v>
      </c>
      <c r="B13" s="40" t="s">
        <v>16</v>
      </c>
      <c r="C13" s="41"/>
      <c r="D13" s="41"/>
      <c r="E13" s="41"/>
      <c r="F13" s="41"/>
      <c r="G13" s="42"/>
      <c r="H13" s="46"/>
      <c r="I13" s="47"/>
      <c r="J13" s="48"/>
    </row>
    <row r="14" spans="1:10" x14ac:dyDescent="0.2">
      <c r="A14" s="29" t="s">
        <v>17</v>
      </c>
      <c r="B14" s="40" t="s">
        <v>18</v>
      </c>
      <c r="C14" s="41"/>
      <c r="D14" s="41"/>
      <c r="E14" s="41"/>
      <c r="F14" s="41"/>
      <c r="G14" s="42"/>
      <c r="H14" s="49"/>
      <c r="I14" s="50"/>
      <c r="J14" s="51"/>
    </row>
    <row r="15" spans="1:10" x14ac:dyDescent="0.2">
      <c r="A15" s="1"/>
      <c r="B15" s="3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30" t="s">
        <v>19</v>
      </c>
      <c r="B16" s="30" t="s">
        <v>20</v>
      </c>
      <c r="C16" s="52" t="s">
        <v>21</v>
      </c>
      <c r="D16" s="53"/>
      <c r="E16" s="52" t="s">
        <v>22</v>
      </c>
      <c r="F16" s="54"/>
      <c r="G16" s="53"/>
      <c r="H16" s="52" t="s">
        <v>23</v>
      </c>
      <c r="I16" s="53"/>
      <c r="J16" s="30" t="s">
        <v>24</v>
      </c>
    </row>
    <row r="17" spans="1:20" ht="53" customHeight="1" x14ac:dyDescent="0.2">
      <c r="A17" s="4">
        <v>81111803</v>
      </c>
      <c r="B17" s="5">
        <v>1</v>
      </c>
      <c r="C17" s="33" t="s">
        <v>25</v>
      </c>
      <c r="D17" s="34"/>
      <c r="E17" s="35" t="s">
        <v>31</v>
      </c>
      <c r="F17" s="36"/>
      <c r="G17" s="37"/>
      <c r="H17" s="38">
        <v>25875</v>
      </c>
      <c r="I17" s="39"/>
      <c r="J17" s="6">
        <f t="shared" ref="J17:J18" si="0">B17*H17</f>
        <v>25875</v>
      </c>
      <c r="L17" s="23"/>
    </row>
    <row r="18" spans="1:20" ht="14.5" customHeight="1" x14ac:dyDescent="0.2">
      <c r="A18" s="4"/>
      <c r="B18" s="5"/>
      <c r="C18" s="33"/>
      <c r="D18" s="34"/>
      <c r="E18" s="24"/>
      <c r="F18" s="25"/>
      <c r="G18" s="26"/>
      <c r="H18" s="38"/>
      <c r="I18" s="39"/>
      <c r="J18" s="6">
        <f t="shared" si="0"/>
        <v>0</v>
      </c>
      <c r="L18" s="32"/>
      <c r="M18" s="32"/>
      <c r="N18" s="32"/>
      <c r="O18" s="32"/>
      <c r="P18" s="32"/>
      <c r="Q18" s="32"/>
      <c r="R18" s="32"/>
      <c r="S18" s="32"/>
      <c r="T18" s="32"/>
    </row>
    <row r="19" spans="1:20" x14ac:dyDescent="0.2">
      <c r="A19" s="1"/>
      <c r="B19" s="1"/>
      <c r="C19" s="31"/>
      <c r="D19" s="31"/>
      <c r="E19" s="31"/>
      <c r="F19" s="31"/>
      <c r="G19" s="31"/>
      <c r="H19" s="31"/>
      <c r="I19" s="1"/>
      <c r="J19" s="1"/>
    </row>
    <row r="20" spans="1:20" x14ac:dyDescent="0.2">
      <c r="A20" s="1"/>
      <c r="B20" s="1"/>
      <c r="C20" s="1"/>
      <c r="D20" s="1"/>
      <c r="E20" s="1"/>
      <c r="F20" s="1"/>
      <c r="G20" s="1"/>
      <c r="H20" s="1"/>
      <c r="I20" s="7" t="s">
        <v>26</v>
      </c>
      <c r="J20" s="8">
        <f>SUM(J17:J19)</f>
        <v>25875</v>
      </c>
      <c r="K20" s="9"/>
      <c r="L20" s="10"/>
    </row>
    <row r="21" spans="1:20" x14ac:dyDescent="0.2">
      <c r="A21" s="1"/>
      <c r="B21" s="1"/>
      <c r="C21" s="1"/>
      <c r="D21" s="1"/>
      <c r="E21" s="1"/>
      <c r="F21" s="1"/>
      <c r="G21" s="1"/>
      <c r="H21" s="1"/>
      <c r="I21" s="11" t="s">
        <v>27</v>
      </c>
      <c r="J21" s="12">
        <f>J20*0.16</f>
        <v>4140</v>
      </c>
      <c r="L21" s="13"/>
    </row>
    <row r="22" spans="1:20" x14ac:dyDescent="0.2">
      <c r="A22" s="14" t="s">
        <v>28</v>
      </c>
      <c r="B22" s="15"/>
      <c r="C22" s="15"/>
      <c r="D22" s="15"/>
      <c r="E22" s="16"/>
      <c r="F22" s="1"/>
      <c r="G22" s="1"/>
      <c r="H22" s="1"/>
      <c r="I22" s="17" t="s">
        <v>24</v>
      </c>
      <c r="J22" s="18">
        <f>J20+J21</f>
        <v>30015</v>
      </c>
    </row>
    <row r="23" spans="1:20" x14ac:dyDescent="0.2">
      <c r="A23" s="19" t="s">
        <v>29</v>
      </c>
      <c r="B23" s="20"/>
      <c r="C23" s="20"/>
      <c r="D23" s="20"/>
      <c r="E23" s="21"/>
      <c r="F23" s="22"/>
      <c r="G23" s="22"/>
      <c r="H23" s="1"/>
      <c r="I23" s="1"/>
      <c r="J23" s="1"/>
    </row>
  </sheetData>
  <mergeCells count="22">
    <mergeCell ref="A8:A10"/>
    <mergeCell ref="B8:G10"/>
    <mergeCell ref="B11:G11"/>
    <mergeCell ref="B4:E4"/>
    <mergeCell ref="H4:J4"/>
    <mergeCell ref="B6:J6"/>
    <mergeCell ref="B7:G7"/>
    <mergeCell ref="H7:J11"/>
    <mergeCell ref="B12:G12"/>
    <mergeCell ref="H12:J14"/>
    <mergeCell ref="B13:G13"/>
    <mergeCell ref="B14:G14"/>
    <mergeCell ref="C16:D16"/>
    <mergeCell ref="E16:G16"/>
    <mergeCell ref="H16:I16"/>
    <mergeCell ref="C19:H19"/>
    <mergeCell ref="L18:T18"/>
    <mergeCell ref="C17:D17"/>
    <mergeCell ref="E17:G17"/>
    <mergeCell ref="H17:I17"/>
    <mergeCell ref="C18:D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4:G14" xr:uid="{9F1402C2-868A-3645-8F9E-14176A6CB093}">
      <formula1>INDIRECT(++$B$13)</formula1>
    </dataValidation>
  </dataValidations>
  <hyperlinks>
    <hyperlink ref="A23" r:id="rId1" xr:uid="{51134FD8-8C20-8E49-8708-933CD040EEDA}"/>
  </hyperlinks>
  <pageMargins left="0.70866141732283472" right="0.70866141732283472" top="0.74803149606299213" bottom="0.74803149606299213" header="0.31496062992125984" footer="0.31496062992125984"/>
  <pageSetup scale="8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MIMI CESMA  soporte a redes 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2026-01-12T19:34:46Z</dcterms:created>
  <dcterms:modified xsi:type="dcterms:W3CDTF">2026-01-19T17:33:43Z</dcterms:modified>
</cp:coreProperties>
</file>