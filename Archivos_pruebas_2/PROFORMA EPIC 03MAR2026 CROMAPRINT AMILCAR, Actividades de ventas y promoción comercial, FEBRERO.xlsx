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autoCompressPictures="0"/>
  <mc:AlternateContent xmlns:mc="http://schemas.openxmlformats.org/markup-compatibility/2006">
    <mc:Choice Requires="x15">
      <x15ac:absPath xmlns:x15ac="http://schemas.microsoft.com/office/spreadsheetml/2010/11/ac" url="/Users/ricardo/Documents/0 Descargas apple/"/>
    </mc:Choice>
  </mc:AlternateContent>
  <xr:revisionPtr revIDLastSave="0" documentId="13_ncr:1_{D8D29A16-B44C-A542-969B-4A4760844E35}" xr6:coauthVersionLast="47" xr6:coauthVersionMax="47" xr10:uidLastSave="{00000000-0000-0000-0000-000000000000}"/>
  <bookViews>
    <workbookView xWindow="0" yWindow="500" windowWidth="20300" windowHeight="13660" xr2:uid="{00000000-000D-0000-FFFF-FFFF00000000}"/>
  </bookViews>
  <sheets>
    <sheet name="PROFORMA EPIC AMILCAR" sheetId="4" r:id="rId1"/>
    <sheet name="LISTAS" sheetId="5" state="hidden" r:id="rId2"/>
    <sheet name="PAGO" sheetId="9" state="hidden" r:id="rId3"/>
  </sheets>
  <definedNames>
    <definedName name="_xlnm.Print_Area" localSheetId="0">'PROFORMA EPIC AMILCAR'!$A$1:$K$40</definedName>
    <definedName name="EMPRESAS">Tabla18[[#Headers],[Empresas]]</definedName>
    <definedName name="REGIMEN_FISCAL">Tabla2[[#Headers],[Regimen fiscal]]</definedName>
    <definedName name="ROPA">#REF!</definedName>
    <definedName name="UNIDAD">Tabla6[[#Headers],[UNIDAD]]</definedName>
    <definedName name="USO_CFDI">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26" i="4" l="1"/>
  <c r="J27" i="4"/>
  <c r="J28" i="4"/>
  <c r="J29" i="4"/>
  <c r="J24" i="4"/>
  <c r="J25" i="4" l="1"/>
  <c r="J30" i="4" l="1"/>
  <c r="J31" i="4" l="1"/>
  <c r="J23" i="4" l="1"/>
  <c r="J33" i="4" s="1"/>
  <c r="J34" i="4" s="1"/>
  <c r="J35" i="4" l="1"/>
</calcChain>
</file>

<file path=xl/sharedStrings.xml><?xml version="1.0" encoding="utf-8"?>
<sst xmlns="http://schemas.openxmlformats.org/spreadsheetml/2006/main" count="135" uniqueCount="124">
  <si>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</si>
  <si>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</si>
  <si>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</si>
  <si>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</si>
  <si>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</si>
  <si>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</si>
  <si>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</si>
  <si>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</si>
  <si>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</si>
  <si>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</si>
  <si>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</si>
  <si>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</si>
  <si>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</si>
  <si>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</si>
  <si>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</si>
  <si>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</si>
  <si>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</si>
  <si>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</si>
  <si>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</si>
  <si>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</si>
  <si>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</si>
  <si>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</si>
  <si>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</si>
  <si>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</si>
  <si>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</si>
  <si>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</si>
  <si>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</si>
  <si>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</si>
  <si>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</si>
  <si>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</si>
  <si>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</si>
  <si>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</si>
  <si>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</si>
  <si>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</si>
  <si>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</si>
  <si>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</si>
  <si>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</si>
  <si>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</si>
  <si>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</si>
  <si>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</si>
  <si>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</si>
  <si>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</si>
  <si>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</si>
  <si>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</si>
  <si>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</si>
  <si>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</si>
  <si>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</si>
  <si>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</si>
  <si>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</si>
  <si>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</si>
  <si>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</si>
  <si>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</si>
  <si>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</si>
  <si>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</si>
  <si>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</si>
  <si>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</si>
  <si>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</si>
  <si>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</si>
  <si>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</si>
  <si>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</si>
  <si>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</si>
  <si>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</si>
  <si>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</si>
  <si>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</si>
  <si>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</si>
  <si>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</si>
  <si>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- Todos los campos son obligatorios</t>
  </si>
  <si>
    <t>RFC   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</si>
  <si>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</si>
  <si>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</si>
  <si>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</si>
  <si>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</si>
  <si>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</si>
  <si>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</si>
  <si>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</si>
  <si>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</si>
  <si>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</si>
  <si>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</si>
  <si>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</si>
  <si>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</si>
  <si>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</si>
  <si>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</si>
  <si>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</si>
  <si>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</si>
  <si>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</si>
  <si>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 xml:space="preserve">SPEED </t>
  </si>
  <si>
    <t>WOOW</t>
  </si>
  <si>
    <t>DIRECCION FISCAL:
(Completa tal cual
viene en CIF)</t>
  </si>
  <si>
    <t>GRUPO SERVIGIN</t>
  </si>
  <si>
    <t>CRETEC DISTRIBUTION</t>
  </si>
  <si>
    <t>CEILI SOLUTIONS</t>
  </si>
  <si>
    <t>TERRELL</t>
  </si>
  <si>
    <t>MON-MES</t>
  </si>
  <si>
    <t>11 -EQUIPO</t>
  </si>
  <si>
    <t>XBG-BOLSO</t>
  </si>
  <si>
    <t>YESGO&amp;ZEZJI</t>
  </si>
  <si>
    <t>INFOCAS</t>
  </si>
  <si>
    <t>CONSTRUWEREPA</t>
  </si>
  <si>
    <t>WENREY</t>
  </si>
  <si>
    <t>MPAQ</t>
  </si>
  <si>
    <t>LOZA</t>
  </si>
  <si>
    <t>INTECHMOMO</t>
  </si>
  <si>
    <t>PUE (PAGO EN UNA SOLA EXHIBICION)</t>
  </si>
  <si>
    <t>PPD (PAGO EN PARCIALIDADES O DIFERIDO)</t>
  </si>
  <si>
    <t>_01_EFECTIVO</t>
  </si>
  <si>
    <t>_02_CHEQUE</t>
  </si>
  <si>
    <t>_99_POR_DEFINIR</t>
  </si>
  <si>
    <t>_03_TRANSFERENCIA</t>
  </si>
  <si>
    <t>RC ROPH</t>
  </si>
  <si>
    <t>AMILCAR VAQUERO RIVERA</t>
  </si>
  <si>
    <t>VARA8505238W1</t>
  </si>
  <si>
    <t>CERRADA DE COPAN,  No. 9 MZ 146 LT 38, SAN MIGUEL XOCHIMANGA, ATIZAPAN DE
ZARAGOZA, C.P.52927</t>
  </si>
  <si>
    <t>Actividades de ventas y promoción comercial  del mes de FEBRERO 2026</t>
  </si>
  <si>
    <t>Empresa Emisora</t>
  </si>
  <si>
    <t>RFC del EMISOR</t>
  </si>
  <si>
    <t>ECM2402081M2</t>
  </si>
  <si>
    <t>EPIC CMC SA de CV</t>
  </si>
  <si>
    <t>PREFACTURA o TIMBRADO</t>
  </si>
  <si>
    <t>PREFACTURA</t>
  </si>
  <si>
    <t xml:space="preserve">REQUIERE COTIZACION (S/N) </t>
  </si>
  <si>
    <t>REQUIRE CONTRATO (S/N)</t>
  </si>
  <si>
    <t xml:space="preserve">SE TIENE ANTICIPO (S/N) </t>
  </si>
  <si>
    <t>N</t>
  </si>
  <si>
    <t>NOTA  de FACTURA: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</si>
</sst>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7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64" fontId="0" fillId="2" borderId="1" xfId="0" applyNumberFormat="1" applyFill="1" applyBorder="1"/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5" fillId="0" borderId="0" xfId="0" applyFont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5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0" xfId="0" applyFill="1"/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567765</xdr:colOff>
      <xdr:row>0</xdr:row>
      <xdr:rowOff>0</xdr:rowOff>
    </xdr:from>
    <xdr:to>
      <xdr:col>9</xdr:col>
      <xdr:colOff>795118</xdr:colOff>
      <xdr:row>3</xdr:row>
      <xdr:rowOff>164353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A2A2D1B-56CB-7EE5-BF39-BEDB89493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0941" y="0"/>
          <a:ext cx="884765" cy="74705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G1:G24" totalsRowShown="0">
  <autoFilter ref="G1:G24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E1:E28" totalsRowShown="0">
  <autoFilter ref="E1:E28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9F2A63-8EDD-43B2-9145-E1BDA1A09829}" name="Tabla18" displayName="Tabla18" ref="A1:A22" totalsRowShown="0">
  <autoFilter ref="A1:A22" xr:uid="{E29F2A63-8EDD-43B2-9145-E1BDA1A09829}"/>
  <tableColumns count="1">
    <tableColumn id="1" xr3:uid="{1DBFEA10-5073-4B83-AF2D-A1EA3BDD0D56}" name="Empres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981700-568D-47A6-83FC-F3D7C2A9B2EB}" name="_01_EFECTIVO" displayName="_01_EFECTIVO" ref="A1:A2" totalsRowShown="0">
  <autoFilter ref="A1:A2" xr:uid="{28981700-568D-47A6-83FC-F3D7C2A9B2EB}"/>
  <tableColumns count="1">
    <tableColumn id="1" xr3:uid="{D81CA0CE-725C-4CF7-839F-D75F6BAF2989}" name="_01_EFEC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916F1E5-B166-4EC6-B587-3F86B04364F2}" name="_02_CHEQUE" displayName="_02_CHEQUE" ref="B1:B2" totalsRowShown="0">
  <autoFilter ref="B1:B2" xr:uid="{2916F1E5-B166-4EC6-B587-3F86B04364F2}"/>
  <tableColumns count="1">
    <tableColumn id="1" xr3:uid="{07012962-AA35-4C2B-899A-577B70B48927}" name="_02_CHEQ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33A8390-B3C1-4497-94F4-E63AC2F83504}" name="_03_TRANSFERENCIA" displayName="_03_TRANSFERENCIA" ref="C1:C2" totalsRowShown="0">
  <autoFilter ref="C1:C2" xr:uid="{C33A8390-B3C1-4497-94F4-E63AC2F83504}"/>
  <tableColumns count="1">
    <tableColumn id="1" xr3:uid="{661D5603-B0A1-44E4-AB03-29D7EE27804C}" name="_03_TRANSFEREN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F3C0C0-62E7-4392-80D1-04C9B34AFAD5}" name="_99_POR_DEFINIR" displayName="_99_POR_DEFINIR" ref="D1:D2" totalsRowShown="0">
  <autoFilter ref="D1:D2" xr:uid="{0FF3C0C0-62E7-4392-80D1-04C9B34AFAD5}"/>
  <tableColumns count="1">
    <tableColumn id="1" xr3:uid="{B49111B1-28FB-47C6-A597-28D4D3469487}" name="_99_POR_DEFINI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J39"/>
  <sheetViews>
    <sheetView showGridLines="0" tabSelected="1" zoomScale="85" zoomScaleNormal="85" workbookViewId="0">
      <selection sqref="A1:K40"/>
    </sheetView>
  </sheetViews>
  <sheetFormatPr baseColWidth="10" defaultRowHeight="15" x14ac:dyDescent="0.2"/>
  <cols>
    <col min="1" max="1" width="21.5" customWidth="1"/>
    <col min="4" max="4" width="6.33203125" customWidth="1"/>
    <col min="8" max="8" width="7.6640625" customWidth="1"/>
    <col min="9" max="9" width="8.6640625" customWidth="1"/>
    <col min="10" max="10" width="13.6640625" customWidth="1"/>
    <col min="11" max="11" width="3.1640625" customWidth="1"/>
  </cols>
  <sheetData>
    <row r="4" spans="1:10" x14ac:dyDescent="0.2">
      <c r="A4" s="1"/>
      <c r="B4" s="1"/>
      <c r="C4" s="1"/>
      <c r="D4" s="1"/>
      <c r="E4" s="1"/>
      <c r="F4" s="1"/>
      <c r="G4" s="70"/>
      <c r="H4" s="1"/>
      <c r="I4" s="1"/>
      <c r="J4" s="1"/>
    </row>
    <row r="5" spans="1:10" x14ac:dyDescent="0.2">
      <c r="A5" s="60" t="s">
        <v>9</v>
      </c>
      <c r="B5" s="37"/>
      <c r="C5" s="38"/>
      <c r="D5" s="38"/>
      <c r="E5" s="39"/>
      <c r="F5" s="1"/>
      <c r="G5" s="60" t="s">
        <v>7</v>
      </c>
      <c r="H5" s="40" t="s">
        <v>8</v>
      </c>
      <c r="I5" s="40"/>
      <c r="J5" s="40"/>
    </row>
    <row r="6" spans="1:10" x14ac:dyDescent="0.2">
      <c r="A6" s="3" t="s">
        <v>113</v>
      </c>
      <c r="B6" s="59" t="s">
        <v>116</v>
      </c>
      <c r="C6" s="1"/>
      <c r="D6" s="1"/>
      <c r="E6" s="1"/>
      <c r="F6" s="1"/>
      <c r="G6" s="1"/>
      <c r="H6" s="1"/>
      <c r="I6" s="1"/>
      <c r="J6" s="1"/>
    </row>
    <row r="7" spans="1:10" x14ac:dyDescent="0.2">
      <c r="A7" s="3" t="s">
        <v>114</v>
      </c>
      <c r="B7" s="59" t="s">
        <v>115</v>
      </c>
      <c r="C7" s="1"/>
      <c r="D7" s="1"/>
      <c r="E7" s="1"/>
      <c r="F7" s="1"/>
      <c r="G7" s="1"/>
      <c r="H7" s="1"/>
      <c r="I7" s="1"/>
      <c r="J7" s="1"/>
    </row>
    <row r="8" spans="1:10" x14ac:dyDescent="0.2">
      <c r="A8" s="60" t="s">
        <v>73</v>
      </c>
      <c r="B8" s="37" t="s">
        <v>109</v>
      </c>
      <c r="C8" s="38"/>
      <c r="D8" s="38"/>
      <c r="E8" s="38"/>
      <c r="F8" s="38"/>
      <c r="G8" s="38"/>
      <c r="H8" s="38"/>
      <c r="I8" s="38"/>
      <c r="J8" s="39"/>
    </row>
    <row r="9" spans="1:10" x14ac:dyDescent="0.2">
      <c r="A9" s="61" t="s">
        <v>67</v>
      </c>
      <c r="B9" s="13" t="s">
        <v>110</v>
      </c>
      <c r="C9" s="14"/>
      <c r="D9" s="14"/>
      <c r="E9" s="14"/>
      <c r="F9" s="14"/>
      <c r="G9" s="15"/>
      <c r="H9" s="41" t="s">
        <v>72</v>
      </c>
      <c r="I9" s="42"/>
      <c r="J9" s="43"/>
    </row>
    <row r="10" spans="1:10" x14ac:dyDescent="0.2">
      <c r="A10" s="62" t="s">
        <v>87</v>
      </c>
      <c r="B10" s="16" t="s">
        <v>111</v>
      </c>
      <c r="C10" s="17"/>
      <c r="D10" s="17"/>
      <c r="E10" s="17"/>
      <c r="F10" s="17"/>
      <c r="G10" s="18"/>
      <c r="H10" s="44"/>
      <c r="I10" s="45"/>
      <c r="J10" s="46"/>
    </row>
    <row r="11" spans="1:10" x14ac:dyDescent="0.2">
      <c r="A11" s="63"/>
      <c r="B11" s="19"/>
      <c r="C11" s="20"/>
      <c r="D11" s="20"/>
      <c r="E11" s="20"/>
      <c r="F11" s="20"/>
      <c r="G11" s="21"/>
      <c r="H11" s="44"/>
      <c r="I11" s="45"/>
      <c r="J11" s="46"/>
    </row>
    <row r="12" spans="1:10" x14ac:dyDescent="0.2">
      <c r="A12" s="64"/>
      <c r="B12" s="22"/>
      <c r="C12" s="23"/>
      <c r="D12" s="23"/>
      <c r="E12" s="23"/>
      <c r="F12" s="23"/>
      <c r="G12" s="24"/>
      <c r="H12" s="44"/>
      <c r="I12" s="45"/>
      <c r="J12" s="46"/>
    </row>
    <row r="13" spans="1:10" x14ac:dyDescent="0.2">
      <c r="A13" s="60" t="s">
        <v>68</v>
      </c>
      <c r="B13" s="25" t="s">
        <v>14</v>
      </c>
      <c r="C13" s="26"/>
      <c r="D13" s="26"/>
      <c r="E13" s="26"/>
      <c r="F13" s="26"/>
      <c r="G13" s="27"/>
      <c r="H13" s="47"/>
      <c r="I13" s="48"/>
      <c r="J13" s="49"/>
    </row>
    <row r="14" spans="1:10" x14ac:dyDescent="0.2">
      <c r="A14" s="65" t="s">
        <v>69</v>
      </c>
      <c r="B14" s="25" t="s">
        <v>39</v>
      </c>
      <c r="C14" s="26"/>
      <c r="D14" s="26"/>
      <c r="E14" s="26"/>
      <c r="F14" s="26"/>
      <c r="G14" s="27"/>
      <c r="H14" s="28" t="s">
        <v>66</v>
      </c>
      <c r="I14" s="29"/>
      <c r="J14" s="30"/>
    </row>
    <row r="15" spans="1:10" x14ac:dyDescent="0.2">
      <c r="A15" s="65" t="s">
        <v>70</v>
      </c>
      <c r="B15" s="25" t="s">
        <v>107</v>
      </c>
      <c r="C15" s="26"/>
      <c r="D15" s="26"/>
      <c r="E15" s="26"/>
      <c r="F15" s="26"/>
      <c r="G15" s="27"/>
      <c r="H15" s="31"/>
      <c r="I15" s="32"/>
      <c r="J15" s="33"/>
    </row>
    <row r="16" spans="1:10" x14ac:dyDescent="0.2">
      <c r="A16" s="65" t="s">
        <v>71</v>
      </c>
      <c r="B16" s="25" t="s">
        <v>102</v>
      </c>
      <c r="C16" s="26"/>
      <c r="D16" s="26"/>
      <c r="E16" s="26"/>
      <c r="F16" s="26"/>
      <c r="G16" s="27"/>
      <c r="H16" s="34"/>
      <c r="I16" s="35"/>
      <c r="J16" s="36"/>
    </row>
    <row r="17" spans="1:10" x14ac:dyDescent="0.2">
      <c r="A17" s="65" t="s">
        <v>117</v>
      </c>
      <c r="B17" s="65" t="s">
        <v>118</v>
      </c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65" t="s">
        <v>119</v>
      </c>
      <c r="B18" s="65" t="s">
        <v>122</v>
      </c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65" t="s">
        <v>120</v>
      </c>
      <c r="B19" s="65" t="s">
        <v>122</v>
      </c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65" t="s">
        <v>121</v>
      </c>
      <c r="B20" s="65" t="s">
        <v>122</v>
      </c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">
      <c r="A22" s="66" t="s">
        <v>0</v>
      </c>
      <c r="B22" s="66" t="s">
        <v>1</v>
      </c>
      <c r="C22" s="67" t="s">
        <v>2</v>
      </c>
      <c r="D22" s="68"/>
      <c r="E22" s="67" t="s">
        <v>3</v>
      </c>
      <c r="F22" s="69"/>
      <c r="G22" s="68"/>
      <c r="H22" s="67" t="s">
        <v>4</v>
      </c>
      <c r="I22" s="68"/>
      <c r="J22" s="66" t="s">
        <v>5</v>
      </c>
    </row>
    <row r="23" spans="1:10" ht="44.25" customHeight="1" x14ac:dyDescent="0.2">
      <c r="A23" s="4">
        <v>80141600</v>
      </c>
      <c r="B23" s="11">
        <v>1</v>
      </c>
      <c r="C23" s="50" t="s">
        <v>49</v>
      </c>
      <c r="D23" s="51"/>
      <c r="E23" s="54" t="s">
        <v>112</v>
      </c>
      <c r="F23" s="55"/>
      <c r="G23" s="56"/>
      <c r="H23" s="52">
        <v>13500</v>
      </c>
      <c r="I23" s="53"/>
      <c r="J23" s="10">
        <f t="shared" ref="J23:J31" si="0">B23*H23</f>
        <v>13500</v>
      </c>
    </row>
    <row r="24" spans="1:10" hidden="1" x14ac:dyDescent="0.2">
      <c r="A24" s="4"/>
      <c r="B24" s="11"/>
      <c r="C24" s="50"/>
      <c r="D24" s="51"/>
      <c r="E24" s="54"/>
      <c r="F24" s="55"/>
      <c r="G24" s="56"/>
      <c r="H24" s="52"/>
      <c r="I24" s="53"/>
      <c r="J24" s="10">
        <f t="shared" si="0"/>
        <v>0</v>
      </c>
    </row>
    <row r="25" spans="1:10" hidden="1" x14ac:dyDescent="0.2">
      <c r="A25" s="4"/>
      <c r="B25" s="11"/>
      <c r="C25" s="50"/>
      <c r="D25" s="51"/>
      <c r="E25" s="54"/>
      <c r="F25" s="55"/>
      <c r="G25" s="56"/>
      <c r="H25" s="52"/>
      <c r="I25" s="53"/>
      <c r="J25" s="10">
        <f t="shared" si="0"/>
        <v>0</v>
      </c>
    </row>
    <row r="26" spans="1:10" hidden="1" x14ac:dyDescent="0.2">
      <c r="A26" s="4"/>
      <c r="B26" s="11"/>
      <c r="C26" s="50"/>
      <c r="D26" s="51"/>
      <c r="E26" s="54"/>
      <c r="F26" s="55"/>
      <c r="G26" s="56"/>
      <c r="H26" s="52"/>
      <c r="I26" s="53"/>
      <c r="J26" s="10">
        <f t="shared" si="0"/>
        <v>0</v>
      </c>
    </row>
    <row r="27" spans="1:10" hidden="1" x14ac:dyDescent="0.2">
      <c r="A27" s="4"/>
      <c r="B27" s="11"/>
      <c r="C27" s="50"/>
      <c r="D27" s="51"/>
      <c r="E27" s="54"/>
      <c r="F27" s="55"/>
      <c r="G27" s="56"/>
      <c r="H27" s="52"/>
      <c r="I27" s="53"/>
      <c r="J27" s="10">
        <f t="shared" si="0"/>
        <v>0</v>
      </c>
    </row>
    <row r="28" spans="1:10" hidden="1" x14ac:dyDescent="0.2">
      <c r="A28" s="4"/>
      <c r="B28" s="11"/>
      <c r="C28" s="50"/>
      <c r="D28" s="51"/>
      <c r="E28" s="54"/>
      <c r="F28" s="55"/>
      <c r="G28" s="56"/>
      <c r="H28" s="52"/>
      <c r="I28" s="53"/>
      <c r="J28" s="10">
        <f t="shared" si="0"/>
        <v>0</v>
      </c>
    </row>
    <row r="29" spans="1:10" hidden="1" x14ac:dyDescent="0.2">
      <c r="A29" s="4"/>
      <c r="B29" s="11"/>
      <c r="C29" s="50"/>
      <c r="D29" s="51"/>
      <c r="E29" s="54"/>
      <c r="F29" s="55"/>
      <c r="G29" s="56"/>
      <c r="H29" s="52"/>
      <c r="I29" s="53"/>
      <c r="J29" s="10">
        <f t="shared" si="0"/>
        <v>0</v>
      </c>
    </row>
    <row r="30" spans="1:10" hidden="1" x14ac:dyDescent="0.2">
      <c r="A30" s="4"/>
      <c r="B30" s="11"/>
      <c r="C30" s="50"/>
      <c r="D30" s="51"/>
      <c r="E30" s="54"/>
      <c r="F30" s="55"/>
      <c r="G30" s="56"/>
      <c r="H30" s="52"/>
      <c r="I30" s="53"/>
      <c r="J30" s="10">
        <f t="shared" si="0"/>
        <v>0</v>
      </c>
    </row>
    <row r="31" spans="1:10" hidden="1" x14ac:dyDescent="0.2">
      <c r="A31" s="4"/>
      <c r="B31" s="11"/>
      <c r="C31" s="50"/>
      <c r="D31" s="51"/>
      <c r="E31" s="54"/>
      <c r="F31" s="55"/>
      <c r="G31" s="56"/>
      <c r="H31" s="52"/>
      <c r="I31" s="53"/>
      <c r="J31" s="10">
        <f t="shared" si="0"/>
        <v>0</v>
      </c>
    </row>
    <row r="32" spans="1:10" x14ac:dyDescent="0.2">
      <c r="A32" s="1"/>
      <c r="B32" s="1"/>
      <c r="C32" s="57"/>
      <c r="D32" s="57"/>
      <c r="E32" s="57"/>
      <c r="F32" s="57"/>
      <c r="G32" s="57"/>
      <c r="H32" s="58"/>
      <c r="I32" s="1"/>
      <c r="J32" s="1"/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5" t="s">
        <v>6</v>
      </c>
      <c r="J33" s="6">
        <f>SUM(J23:J32)</f>
        <v>13500</v>
      </c>
    </row>
    <row r="34" spans="1:10" x14ac:dyDescent="0.2">
      <c r="A34" s="1"/>
      <c r="B34" s="1"/>
      <c r="C34" s="1"/>
      <c r="D34" s="1"/>
      <c r="E34" s="1"/>
      <c r="F34" s="1"/>
      <c r="G34" s="1"/>
      <c r="H34" s="1"/>
      <c r="I34" s="7" t="s">
        <v>74</v>
      </c>
      <c r="J34" s="8">
        <f>J33*0.16</f>
        <v>2160</v>
      </c>
    </row>
    <row r="35" spans="1:10" x14ac:dyDescent="0.2">
      <c r="F35" s="1"/>
      <c r="G35" s="1"/>
      <c r="H35" s="1"/>
      <c r="I35" s="2" t="s">
        <v>5</v>
      </c>
      <c r="J35" s="9">
        <f>J33+J34</f>
        <v>15660</v>
      </c>
    </row>
    <row r="36" spans="1:10" ht="16" thickBot="1" x14ac:dyDescent="0.25">
      <c r="F36" s="12"/>
      <c r="G36" s="12"/>
      <c r="H36" s="1"/>
      <c r="I36" s="1"/>
      <c r="J36" s="1"/>
    </row>
    <row r="37" spans="1:10" x14ac:dyDescent="0.2">
      <c r="A37" s="65" t="s">
        <v>123</v>
      </c>
      <c r="B37" s="71"/>
      <c r="C37" s="72"/>
      <c r="D37" s="72"/>
      <c r="E37" s="72"/>
      <c r="F37" s="72"/>
      <c r="G37" s="72"/>
      <c r="H37" s="72"/>
      <c r="I37" s="72"/>
      <c r="J37" s="73"/>
    </row>
    <row r="38" spans="1:10" x14ac:dyDescent="0.2">
      <c r="B38" s="74"/>
      <c r="C38" s="75"/>
      <c r="D38" s="75"/>
      <c r="E38" s="75"/>
      <c r="F38" s="75"/>
      <c r="G38" s="75"/>
      <c r="H38" s="75"/>
      <c r="I38" s="75"/>
      <c r="J38" s="76"/>
    </row>
    <row r="39" spans="1:10" ht="16" thickBot="1" x14ac:dyDescent="0.25">
      <c r="B39" s="77"/>
      <c r="C39" s="78"/>
      <c r="D39" s="78"/>
      <c r="E39" s="78"/>
      <c r="F39" s="78"/>
      <c r="G39" s="78"/>
      <c r="H39" s="78"/>
      <c r="I39" s="78"/>
      <c r="J39" s="79"/>
    </row>
  </sheetData>
  <mergeCells count="44">
    <mergeCell ref="B37:J39"/>
    <mergeCell ref="H25:I25"/>
    <mergeCell ref="H26:I26"/>
    <mergeCell ref="H27:I27"/>
    <mergeCell ref="H28:I28"/>
    <mergeCell ref="C32:H32"/>
    <mergeCell ref="C26:D26"/>
    <mergeCell ref="C27:D27"/>
    <mergeCell ref="C28:D28"/>
    <mergeCell ref="E25:G25"/>
    <mergeCell ref="E26:G26"/>
    <mergeCell ref="E27:G27"/>
    <mergeCell ref="E28:G28"/>
    <mergeCell ref="C23:D23"/>
    <mergeCell ref="H23:I23"/>
    <mergeCell ref="C31:D31"/>
    <mergeCell ref="H31:I31"/>
    <mergeCell ref="E23:G23"/>
    <mergeCell ref="E31:G31"/>
    <mergeCell ref="C30:D30"/>
    <mergeCell ref="E30:G30"/>
    <mergeCell ref="H30:I30"/>
    <mergeCell ref="C25:D25"/>
    <mergeCell ref="C29:D29"/>
    <mergeCell ref="E29:G29"/>
    <mergeCell ref="H29:I29"/>
    <mergeCell ref="C24:D24"/>
    <mergeCell ref="E24:G24"/>
    <mergeCell ref="H24:I24"/>
    <mergeCell ref="B5:E5"/>
    <mergeCell ref="H5:J5"/>
    <mergeCell ref="B8:J8"/>
    <mergeCell ref="C22:D22"/>
    <mergeCell ref="H22:I22"/>
    <mergeCell ref="B14:G14"/>
    <mergeCell ref="B15:G15"/>
    <mergeCell ref="B16:G16"/>
    <mergeCell ref="H9:J13"/>
    <mergeCell ref="E22:G22"/>
    <mergeCell ref="A10:A12"/>
    <mergeCell ref="B9:G9"/>
    <mergeCell ref="B10:G12"/>
    <mergeCell ref="B13:G13"/>
    <mergeCell ref="H14:J16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6:G16" xr:uid="{00000000-0002-0000-0000-000004000000}">
      <formula1>INDIRECT(++$B$15)</formula1>
    </dataValidation>
  </dataValidations>
  <pageMargins left="0.7" right="0.7" top="0.75" bottom="0.75" header="0.3" footer="0.3"/>
  <pageSetup scale="9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2000000}">
          <x14:formula1>
            <xm:f>LISTAS!$C$2:$C$11</xm:f>
          </x14:formula1>
          <xm:sqref>B14:G14</xm:sqref>
        </x14:dataValidation>
        <x14:dataValidation type="list" allowBlank="1" showInputMessage="1" showErrorMessage="1" errorTitle="Entrada no valida" error="Seleccione una empresa de la lista" promptTitle="EMPRESAS" prompt="Seleccione una empresa de la lista" xr:uid="{00000000-0002-0000-0000-000000000000}">
          <x14:formula1>
            <xm:f>LISTAS!$A$2:$A$56</xm:f>
          </x14:formula1>
          <xm:sqref>B5:E5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A5FB7014-1394-4186-8940-4245F31A930B}">
          <x14:formula1>
            <xm:f>LISTAS!$E$2:$E$28</xm:f>
          </x14:formula1>
          <xm:sqref>C23:D31</xm:sqref>
        </x14:dataValidation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1000000}">
          <x14:formula1>
            <xm:f>LISTAS!$G$2:$G$24</xm:f>
          </x14:formula1>
          <xm:sqref>B13:G13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3000000}">
          <x14:formula1>
            <xm:f>PAGO!$A$1:$D$1</xm:f>
          </x14:formula1>
          <xm:sqref>B15:G15</xm:sqref>
        </x14:dataValidation>
        <x14:dataValidation type="list" allowBlank="1" showInputMessage="1" showErrorMessage="1" xr:uid="{DCA1372E-F08C-403F-86D3-0B77C7727BEA}">
          <x14:formula1>
            <xm:f>LISTAS!#REF!</xm:f>
          </x14:formula1>
          <xm:sqref>M12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C1" sqref="C1"/>
    </sheetView>
  </sheetViews>
  <sheetFormatPr baseColWidth="10" defaultRowHeight="15" x14ac:dyDescent="0.2"/>
  <cols>
    <col min="1" max="1" width="39.5" customWidth="1"/>
    <col min="3" max="3" width="56.1640625" bestFit="1" customWidth="1"/>
    <col min="5" max="5" width="33.6640625" bestFit="1" customWidth="1"/>
    <col min="7" max="7" width="87.83203125" bestFit="1" customWidth="1"/>
  </cols>
  <sheetData>
    <row r="1" spans="1:7" x14ac:dyDescent="0.2">
      <c r="A1" t="s">
        <v>13</v>
      </c>
      <c r="C1" t="s">
        <v>48</v>
      </c>
      <c r="E1" t="s">
        <v>2</v>
      </c>
      <c r="G1" t="s">
        <v>37</v>
      </c>
    </row>
    <row r="2" spans="1:7" x14ac:dyDescent="0.2">
      <c r="A2" t="s">
        <v>12</v>
      </c>
      <c r="C2" t="s">
        <v>38</v>
      </c>
      <c r="E2" t="s">
        <v>49</v>
      </c>
      <c r="G2" t="s">
        <v>14</v>
      </c>
    </row>
    <row r="3" spans="1:7" x14ac:dyDescent="0.2">
      <c r="A3" t="s">
        <v>75</v>
      </c>
      <c r="C3" t="s">
        <v>39</v>
      </c>
      <c r="E3" t="s">
        <v>50</v>
      </c>
      <c r="G3" t="s">
        <v>15</v>
      </c>
    </row>
    <row r="4" spans="1:7" x14ac:dyDescent="0.2">
      <c r="C4" t="s">
        <v>40</v>
      </c>
      <c r="E4" t="s">
        <v>58</v>
      </c>
      <c r="G4" t="s">
        <v>16</v>
      </c>
    </row>
    <row r="5" spans="1:7" x14ac:dyDescent="0.2">
      <c r="A5" t="s">
        <v>10</v>
      </c>
      <c r="C5" t="s">
        <v>41</v>
      </c>
      <c r="E5" t="s">
        <v>51</v>
      </c>
      <c r="G5" t="s">
        <v>18</v>
      </c>
    </row>
    <row r="6" spans="1:7" x14ac:dyDescent="0.2">
      <c r="A6" t="s">
        <v>78</v>
      </c>
      <c r="C6" t="s">
        <v>42</v>
      </c>
      <c r="E6" t="s">
        <v>52</v>
      </c>
      <c r="G6" t="s">
        <v>17</v>
      </c>
    </row>
    <row r="7" spans="1:7" x14ac:dyDescent="0.2">
      <c r="A7" t="s">
        <v>11</v>
      </c>
      <c r="C7" t="s">
        <v>43</v>
      </c>
      <c r="E7" t="s">
        <v>53</v>
      </c>
      <c r="G7" t="s">
        <v>19</v>
      </c>
    </row>
    <row r="8" spans="1:7" x14ac:dyDescent="0.2">
      <c r="A8" t="s">
        <v>91</v>
      </c>
      <c r="C8" t="s">
        <v>44</v>
      </c>
      <c r="E8" t="s">
        <v>54</v>
      </c>
      <c r="G8" t="s">
        <v>20</v>
      </c>
    </row>
    <row r="9" spans="1:7" x14ac:dyDescent="0.2">
      <c r="A9" t="s">
        <v>77</v>
      </c>
      <c r="C9" t="s">
        <v>45</v>
      </c>
      <c r="E9" t="s">
        <v>55</v>
      </c>
      <c r="G9" t="s">
        <v>21</v>
      </c>
    </row>
    <row r="10" spans="1:7" x14ac:dyDescent="0.2">
      <c r="A10" t="s">
        <v>85</v>
      </c>
      <c r="C10" t="s">
        <v>46</v>
      </c>
      <c r="E10" t="s">
        <v>56</v>
      </c>
      <c r="G10" t="s">
        <v>22</v>
      </c>
    </row>
    <row r="11" spans="1:7" x14ac:dyDescent="0.2">
      <c r="A11" t="s">
        <v>86</v>
      </c>
      <c r="C11" t="s">
        <v>47</v>
      </c>
      <c r="E11" t="s">
        <v>57</v>
      </c>
      <c r="G11" t="s">
        <v>23</v>
      </c>
    </row>
    <row r="12" spans="1:7" x14ac:dyDescent="0.2">
      <c r="A12" t="s">
        <v>88</v>
      </c>
      <c r="E12" t="s">
        <v>59</v>
      </c>
      <c r="G12" t="s">
        <v>24</v>
      </c>
    </row>
    <row r="13" spans="1:7" x14ac:dyDescent="0.2">
      <c r="A13" t="s">
        <v>89</v>
      </c>
      <c r="E13" t="s">
        <v>60</v>
      </c>
      <c r="G13" t="s">
        <v>25</v>
      </c>
    </row>
    <row r="14" spans="1:7" x14ac:dyDescent="0.2">
      <c r="A14" t="s">
        <v>90</v>
      </c>
      <c r="E14" t="s">
        <v>61</v>
      </c>
      <c r="G14" t="s">
        <v>26</v>
      </c>
    </row>
    <row r="15" spans="1:7" x14ac:dyDescent="0.2">
      <c r="A15" t="s">
        <v>95</v>
      </c>
      <c r="E15" t="s">
        <v>62</v>
      </c>
      <c r="G15" t="s">
        <v>27</v>
      </c>
    </row>
    <row r="16" spans="1:7" x14ac:dyDescent="0.2">
      <c r="A16" t="s">
        <v>96</v>
      </c>
      <c r="E16" t="s">
        <v>63</v>
      </c>
      <c r="G16" t="s">
        <v>28</v>
      </c>
    </row>
    <row r="17" spans="1:7" x14ac:dyDescent="0.2">
      <c r="A17" t="s">
        <v>97</v>
      </c>
      <c r="E17" t="s">
        <v>64</v>
      </c>
      <c r="G17" t="s">
        <v>29</v>
      </c>
    </row>
    <row r="18" spans="1:7" x14ac:dyDescent="0.2">
      <c r="A18" t="s">
        <v>98</v>
      </c>
      <c r="E18" t="s">
        <v>65</v>
      </c>
      <c r="G18" t="s">
        <v>30</v>
      </c>
    </row>
    <row r="19" spans="1:7" x14ac:dyDescent="0.2">
      <c r="A19" t="s">
        <v>99</v>
      </c>
      <c r="E19" t="s">
        <v>81</v>
      </c>
      <c r="G19" t="s">
        <v>31</v>
      </c>
    </row>
    <row r="20" spans="1:7" x14ac:dyDescent="0.2">
      <c r="A20" t="s">
        <v>100</v>
      </c>
      <c r="E20" t="s">
        <v>76</v>
      </c>
      <c r="G20" t="s">
        <v>32</v>
      </c>
    </row>
    <row r="21" spans="1:7" x14ac:dyDescent="0.2">
      <c r="A21" t="s">
        <v>101</v>
      </c>
      <c r="E21" t="s">
        <v>79</v>
      </c>
      <c r="G21" t="s">
        <v>33</v>
      </c>
    </row>
    <row r="22" spans="1:7" x14ac:dyDescent="0.2">
      <c r="A22" t="s">
        <v>108</v>
      </c>
      <c r="E22" t="s">
        <v>80</v>
      </c>
      <c r="G22" t="s">
        <v>34</v>
      </c>
    </row>
    <row r="23" spans="1:7" x14ac:dyDescent="0.2">
      <c r="E23" t="s">
        <v>82</v>
      </c>
      <c r="G23" t="s">
        <v>35</v>
      </c>
    </row>
    <row r="24" spans="1:7" x14ac:dyDescent="0.2">
      <c r="E24" t="s">
        <v>83</v>
      </c>
      <c r="G24" t="s">
        <v>36</v>
      </c>
    </row>
    <row r="25" spans="1:7" x14ac:dyDescent="0.2">
      <c r="E25" t="s">
        <v>84</v>
      </c>
    </row>
    <row r="26" spans="1:7" x14ac:dyDescent="0.2">
      <c r="E26" t="s">
        <v>92</v>
      </c>
    </row>
    <row r="27" spans="1:7" x14ac:dyDescent="0.2">
      <c r="E27" t="s">
        <v>93</v>
      </c>
    </row>
    <row r="28" spans="1:7" x14ac:dyDescent="0.2">
      <c r="E28" t="s">
        <v>94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3560-B92C-4115-87ED-D53B987A5514}">
  <dimension ref="A1:D2"/>
  <sheetViews>
    <sheetView workbookViewId="0">
      <selection activeCell="D1" sqref="D1:D2"/>
    </sheetView>
  </sheetViews>
  <sheetFormatPr baseColWidth="10" defaultRowHeight="15" x14ac:dyDescent="0.2"/>
  <cols>
    <col min="1" max="1" width="15.5" customWidth="1"/>
    <col min="2" max="2" width="14.5" customWidth="1"/>
    <col min="3" max="3" width="21.5" customWidth="1"/>
    <col min="4" max="4" width="18.83203125" customWidth="1"/>
  </cols>
  <sheetData>
    <row r="1" spans="1:4" x14ac:dyDescent="0.2">
      <c r="A1" t="s">
        <v>104</v>
      </c>
      <c r="B1" t="s">
        <v>105</v>
      </c>
      <c r="C1" t="s">
        <v>107</v>
      </c>
      <c r="D1" t="s">
        <v>106</v>
      </c>
    </row>
    <row r="2" spans="1:4" x14ac:dyDescent="0.2">
      <c r="A2" t="s">
        <v>102</v>
      </c>
      <c r="B2" t="s">
        <v>102</v>
      </c>
      <c r="C2" t="s">
        <v>102</v>
      </c>
      <c r="D2" t="s">
        <v>103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5</vt:i4>
      </vt:variant>
    </vt:vector>
  </HeadingPairs>
  <TitlesOfParts>
    <vt:vector size="8" baseType="lpstr">
      <vt:lpstr>PROFORMA EPIC AMILCAR</vt:lpstr>
      <vt:lpstr>LISTAS</vt:lpstr>
      <vt:lpstr>PAGO</vt:lpstr>
      <vt:lpstr>'PROFORMA EPIC AMILCAR'!Área_de_impresión</vt:lpstr>
      <vt:lpstr>EMPRESAS</vt:lpstr>
      <vt:lpstr>REGIMEN_FISCAL</vt:lpstr>
      <vt:lpstr>UNIDAD</vt:lpstr>
      <vt:lpstr>USO_CFDI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Microsoft Office User</cp:lastModifiedBy>
  <cp:lastPrinted>2024-06-21T21:35:40Z</cp:lastPrinted>
  <dcterms:created xsi:type="dcterms:W3CDTF">2017-12-04T17:48:14Z</dcterms:created>
  <dcterms:modified xsi:type="dcterms:W3CDTF">2026-03-03T17:11:35Z</dcterms:modified>
</cp:coreProperties>
</file>