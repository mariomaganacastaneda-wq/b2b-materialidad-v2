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1B24FCE9-1187-B04D-902A-FA9DBF58E717}" xr6:coauthVersionLast="47" xr6:coauthVersionMax="47" xr10:uidLastSave="{00000000-0000-0000-0000-000000000000}"/>
  <bookViews>
    <workbookView xWindow="0" yWindow="500" windowWidth="20320" windowHeight="15480" xr2:uid="{9BED9E8C-99F0-423B-AA18-3FED5D26B6A3}"/>
  </bookViews>
  <sheets>
    <sheet name="PROFORMA MVC CESAMA FISCAL" sheetId="1" r:id="rId1"/>
  </sheets>
  <externalReferences>
    <externalReference r:id="rId2"/>
  </externalReferences>
  <definedNames>
    <definedName name="_xlnm.Print_Area" localSheetId="0">'PROFORMA MVC CESAMA FISCAL'!$A$1:$K$35</definedName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4" i="1"/>
  <c r="J23" i="1"/>
  <c r="J22" i="1"/>
  <c r="J28" i="1" l="1"/>
  <c r="J29" i="1" s="1"/>
  <c r="J30" i="1" s="1"/>
</calcChain>
</file>

<file path=xl/sharedStrings.xml><?xml version="1.0" encoding="utf-8"?>
<sst xmlns="http://schemas.openxmlformats.org/spreadsheetml/2006/main" count="42" uniqueCount="40">
  <si>
    <t>Empresa que emite:</t>
  </si>
  <si>
    <t>TIPO DE COMPROBANTE</t>
  </si>
  <si>
    <t>INGRESO</t>
  </si>
  <si>
    <t>Cliente (Razon social):</t>
  </si>
  <si>
    <t>CESMA SEGURIDAD PRIVADA, S. DE R.L. DE C.V.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</si>
  <si>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</si>
  <si>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</si>
  <si>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</si>
  <si>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</si>
  <si>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</si>
  <si>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</si>
  <si>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</si>
  <si>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</si>
  <si>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</si>
  <si>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</si>
  <si>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</si>
  <si>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</si>
  <si>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</si>
  <si>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</si>
  <si>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</si>
  <si>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</si>
  <si>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</si>
  <si>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</si>
  <si>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</si>
  <si>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</si>
  <si>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</si>
  <si>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</si>
  <si>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CARGO QUINCENAL 5 DE 24 POR SERVICIOS DE ASESORIA FISCAL, SEGUN CONTRATO</t>
  </si>
  <si>
    <t>PREFACTURA o TIMBRADO</t>
  </si>
  <si>
    <t>PREFACTURA</t>
  </si>
  <si>
    <t xml:space="preserve">REQUIERE COTIZACION (S/N) </t>
  </si>
  <si>
    <t>S</t>
  </si>
  <si>
    <t>REQUIRE CONTRATO (S/N)</t>
  </si>
  <si>
    <t xml:space="preserve">SE TIENE ANTICIPO (S/N) </t>
  </si>
  <si>
    <t>N</t>
  </si>
  <si>
    <t>NOTA  de FACTURA:</t>
  </si>
  <si>
    <t>MAGAÑA, VIEYRA, CUEVA Y ASOCIADOS</t>
  </si>
  <si>
    <t>MVC151216BZ0</t>
  </si>
  <si>
    <t>RFC Quien EMITE</t>
  </si>
  <si>
    <t>RFC CLIENTE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</si>
</sst>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5" fillId="2" borderId="1" xfId="0" applyFont="1" applyFill="1" applyBorder="1"/>
    <xf numFmtId="4" fontId="5" fillId="2" borderId="1" xfId="0" applyNumberFormat="1" applyFont="1" applyFill="1" applyBorder="1"/>
    <xf numFmtId="166" fontId="0" fillId="0" borderId="0" xfId="0" applyNumberFormat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0" fillId="2" borderId="0" xfId="0" applyFill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49" fontId="3" fillId="0" borderId="0" xfId="0" applyNumberFormat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537883</xdr:colOff>
      <xdr:row>0</xdr:row>
      <xdr:rowOff>44823</xdr:rowOff>
    </xdr:from>
    <xdr:to>
      <xdr:col>0</xdr:col>
      <xdr:colOff>1240119</xdr:colOff>
      <xdr:row>3</xdr:row>
      <xdr:rowOff>164353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B2FBF3-D7B3-8B6B-01DD-E1AECC1D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83" y="44823"/>
          <a:ext cx="702236" cy="7022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0B40-DA37-489A-A640-0A9192E627A6}">
  <sheetPr>
    <pageSetUpPr fitToPage="1"/>
  </sheetPr>
  <dimension ref="A1:L34"/>
  <sheetViews>
    <sheetView showGridLines="0" tabSelected="1" zoomScale="85" zoomScaleNormal="85" workbookViewId="0">
      <selection sqref="A1:K3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1" max="11" width="3.3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B4" s="45"/>
      <c r="C4" s="45"/>
      <c r="D4" s="45"/>
      <c r="E4" s="45"/>
      <c r="F4" s="1"/>
      <c r="G4" s="55" t="s">
        <v>1</v>
      </c>
      <c r="H4" s="46" t="s">
        <v>2</v>
      </c>
      <c r="I4" s="46"/>
      <c r="J4" s="46"/>
    </row>
    <row r="5" spans="1:10" x14ac:dyDescent="0.2">
      <c r="A5" s="55" t="s">
        <v>0</v>
      </c>
      <c r="B5" s="2" t="s">
        <v>36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55" t="s">
        <v>38</v>
      </c>
      <c r="B6" s="2" t="s">
        <v>37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55" t="s">
        <v>3</v>
      </c>
      <c r="B7" s="77" t="s">
        <v>4</v>
      </c>
      <c r="C7" s="78"/>
      <c r="D7" s="78"/>
      <c r="E7" s="78"/>
      <c r="F7" s="78"/>
      <c r="G7" s="78"/>
      <c r="H7" s="50" t="s">
        <v>6</v>
      </c>
      <c r="I7" s="50"/>
      <c r="J7" s="51"/>
    </row>
    <row r="8" spans="1:10" ht="15" customHeight="1" x14ac:dyDescent="0.2">
      <c r="A8" s="56" t="s">
        <v>39</v>
      </c>
      <c r="B8" s="47" t="s">
        <v>5</v>
      </c>
      <c r="C8" s="48"/>
      <c r="D8" s="48"/>
      <c r="E8" s="48"/>
      <c r="F8" s="48"/>
      <c r="G8" s="49"/>
      <c r="H8" s="79"/>
      <c r="I8" s="79"/>
      <c r="J8" s="52"/>
    </row>
    <row r="9" spans="1:10" x14ac:dyDescent="0.2">
      <c r="A9" s="57" t="s">
        <v>7</v>
      </c>
      <c r="B9" s="36" t="s">
        <v>8</v>
      </c>
      <c r="C9" s="37"/>
      <c r="D9" s="37"/>
      <c r="E9" s="37"/>
      <c r="F9" s="37"/>
      <c r="G9" s="38"/>
      <c r="H9" s="79"/>
      <c r="I9" s="79"/>
      <c r="J9" s="52"/>
    </row>
    <row r="10" spans="1:10" x14ac:dyDescent="0.2">
      <c r="A10" s="58"/>
      <c r="B10" s="39"/>
      <c r="C10" s="40"/>
      <c r="D10" s="40"/>
      <c r="E10" s="40"/>
      <c r="F10" s="40"/>
      <c r="G10" s="41"/>
      <c r="H10" s="79"/>
      <c r="I10" s="79"/>
      <c r="J10" s="52"/>
    </row>
    <row r="11" spans="1:10" x14ac:dyDescent="0.2">
      <c r="A11" s="59"/>
      <c r="B11" s="42"/>
      <c r="C11" s="43"/>
      <c r="D11" s="43"/>
      <c r="E11" s="43"/>
      <c r="F11" s="43"/>
      <c r="G11" s="44"/>
      <c r="H11" s="79"/>
      <c r="I11" s="79"/>
      <c r="J11" s="52"/>
    </row>
    <row r="12" spans="1:10" x14ac:dyDescent="0.2">
      <c r="A12" s="55" t="s">
        <v>9</v>
      </c>
      <c r="B12" s="24" t="s">
        <v>10</v>
      </c>
      <c r="C12" s="25"/>
      <c r="D12" s="25"/>
      <c r="E12" s="25"/>
      <c r="F12" s="25"/>
      <c r="G12" s="26"/>
      <c r="H12" s="53"/>
      <c r="I12" s="53"/>
      <c r="J12" s="54"/>
    </row>
    <row r="13" spans="1:10" x14ac:dyDescent="0.2">
      <c r="A13" s="60" t="s">
        <v>11</v>
      </c>
      <c r="B13" s="24" t="s">
        <v>12</v>
      </c>
      <c r="C13" s="25"/>
      <c r="D13" s="25"/>
      <c r="E13" s="25"/>
      <c r="F13" s="25"/>
      <c r="G13" s="26"/>
      <c r="H13" s="27" t="s">
        <v>13</v>
      </c>
      <c r="I13" s="28"/>
      <c r="J13" s="29"/>
    </row>
    <row r="14" spans="1:10" x14ac:dyDescent="0.2">
      <c r="A14" s="60" t="s">
        <v>14</v>
      </c>
      <c r="B14" s="24" t="s">
        <v>15</v>
      </c>
      <c r="C14" s="25"/>
      <c r="D14" s="25"/>
      <c r="E14" s="25"/>
      <c r="F14" s="25"/>
      <c r="G14" s="26"/>
      <c r="H14" s="30"/>
      <c r="I14" s="31"/>
      <c r="J14" s="32"/>
    </row>
    <row r="15" spans="1:10" x14ac:dyDescent="0.2">
      <c r="A15" s="60" t="s">
        <v>16</v>
      </c>
      <c r="B15" s="24" t="s">
        <v>17</v>
      </c>
      <c r="C15" s="25"/>
      <c r="D15" s="25"/>
      <c r="E15" s="25"/>
      <c r="F15" s="25"/>
      <c r="G15" s="26"/>
      <c r="H15" s="33"/>
      <c r="I15" s="34"/>
      <c r="J15" s="35"/>
    </row>
    <row r="16" spans="1:10" x14ac:dyDescent="0.2">
      <c r="A16" s="60" t="s">
        <v>28</v>
      </c>
      <c r="B16" s="60" t="s">
        <v>29</v>
      </c>
      <c r="C16" s="65"/>
      <c r="D16" s="65"/>
      <c r="E16" s="65"/>
      <c r="F16" s="65"/>
      <c r="G16" s="65"/>
      <c r="H16" s="66"/>
      <c r="I16" s="66"/>
      <c r="J16" s="66"/>
    </row>
    <row r="17" spans="1:12" x14ac:dyDescent="0.2">
      <c r="A17" s="60" t="s">
        <v>30</v>
      </c>
      <c r="B17" s="76" t="s">
        <v>31</v>
      </c>
      <c r="C17" s="65"/>
      <c r="D17" s="65"/>
      <c r="E17" s="65"/>
      <c r="F17" s="65"/>
      <c r="G17" s="65"/>
      <c r="H17" s="66"/>
      <c r="I17" s="66"/>
      <c r="J17" s="66"/>
    </row>
    <row r="18" spans="1:12" x14ac:dyDescent="0.2">
      <c r="A18" s="60" t="s">
        <v>32</v>
      </c>
      <c r="B18" s="76" t="s">
        <v>31</v>
      </c>
      <c r="C18" s="65"/>
      <c r="D18" s="65"/>
      <c r="E18" s="65"/>
      <c r="F18" s="65"/>
      <c r="G18" s="65"/>
      <c r="H18" s="66"/>
      <c r="I18" s="66"/>
      <c r="J18" s="66"/>
    </row>
    <row r="19" spans="1:12" x14ac:dyDescent="0.2">
      <c r="A19" s="60" t="s">
        <v>33</v>
      </c>
      <c r="B19" s="76" t="s">
        <v>34</v>
      </c>
      <c r="C19" s="65"/>
      <c r="D19" s="65"/>
      <c r="E19" s="65"/>
      <c r="F19" s="65"/>
      <c r="G19" s="65"/>
      <c r="H19" s="66"/>
      <c r="I19" s="66"/>
      <c r="J19" s="66"/>
    </row>
    <row r="20" spans="1:12" x14ac:dyDescent="0.2">
      <c r="A20" s="1"/>
      <c r="B20" s="2"/>
      <c r="C20" s="1"/>
      <c r="D20" s="1"/>
      <c r="E20" s="1"/>
      <c r="F20" s="1"/>
      <c r="G20" s="1"/>
      <c r="H20" s="1"/>
      <c r="I20" s="1"/>
      <c r="J20" s="1"/>
    </row>
    <row r="21" spans="1:12" x14ac:dyDescent="0.2">
      <c r="A21" s="61" t="s">
        <v>18</v>
      </c>
      <c r="B21" s="61" t="s">
        <v>19</v>
      </c>
      <c r="C21" s="62" t="s">
        <v>20</v>
      </c>
      <c r="D21" s="63"/>
      <c r="E21" s="62" t="s">
        <v>21</v>
      </c>
      <c r="F21" s="64"/>
      <c r="G21" s="63"/>
      <c r="H21" s="62" t="s">
        <v>22</v>
      </c>
      <c r="I21" s="63"/>
      <c r="J21" s="61" t="s">
        <v>23</v>
      </c>
    </row>
    <row r="22" spans="1:12" ht="40.75" customHeight="1" x14ac:dyDescent="0.2">
      <c r="A22" s="3">
        <v>84101501</v>
      </c>
      <c r="B22" s="4">
        <v>1</v>
      </c>
      <c r="C22" s="16" t="s">
        <v>24</v>
      </c>
      <c r="D22" s="17"/>
      <c r="E22" s="18" t="s">
        <v>27</v>
      </c>
      <c r="F22" s="19"/>
      <c r="G22" s="20"/>
      <c r="H22" s="21">
        <v>16400</v>
      </c>
      <c r="I22" s="22"/>
      <c r="J22" s="5">
        <f t="shared" ref="J22:J26" si="0">B22*H22</f>
        <v>16400</v>
      </c>
    </row>
    <row r="23" spans="1:12" ht="14.5" customHeight="1" x14ac:dyDescent="0.2">
      <c r="A23" s="3"/>
      <c r="B23" s="4"/>
      <c r="C23" s="16"/>
      <c r="D23" s="17"/>
      <c r="E23" s="18"/>
      <c r="F23" s="19"/>
      <c r="G23" s="20"/>
      <c r="H23" s="21"/>
      <c r="I23" s="22"/>
      <c r="J23" s="5">
        <f t="shared" si="0"/>
        <v>0</v>
      </c>
    </row>
    <row r="24" spans="1:12" ht="14.5" customHeight="1" x14ac:dyDescent="0.2">
      <c r="A24" s="3"/>
      <c r="B24" s="4"/>
      <c r="C24" s="16"/>
      <c r="D24" s="17"/>
      <c r="E24" s="18"/>
      <c r="F24" s="19"/>
      <c r="G24" s="20"/>
      <c r="H24" s="21"/>
      <c r="I24" s="22"/>
      <c r="J24" s="5">
        <f t="shared" si="0"/>
        <v>0</v>
      </c>
    </row>
    <row r="25" spans="1:12" ht="14.5" customHeight="1" x14ac:dyDescent="0.2">
      <c r="A25" s="3"/>
      <c r="B25" s="4"/>
      <c r="C25" s="16"/>
      <c r="D25" s="17"/>
      <c r="E25" s="18"/>
      <c r="F25" s="19"/>
      <c r="G25" s="20"/>
      <c r="H25" s="21"/>
      <c r="I25" s="22"/>
      <c r="J25" s="5">
        <f t="shared" si="0"/>
        <v>0</v>
      </c>
    </row>
    <row r="26" spans="1:12" ht="14.5" customHeight="1" x14ac:dyDescent="0.2">
      <c r="A26" s="3"/>
      <c r="B26" s="4"/>
      <c r="C26" s="16"/>
      <c r="D26" s="17"/>
      <c r="E26" s="18"/>
      <c r="F26" s="19"/>
      <c r="G26" s="20"/>
      <c r="H26" s="21"/>
      <c r="I26" s="22"/>
      <c r="J26" s="5">
        <f t="shared" si="0"/>
        <v>0</v>
      </c>
    </row>
    <row r="27" spans="1:12" x14ac:dyDescent="0.2">
      <c r="A27" s="1"/>
      <c r="B27" s="1"/>
      <c r="C27" s="23"/>
      <c r="D27" s="23"/>
      <c r="E27" s="23"/>
      <c r="F27" s="23"/>
      <c r="G27" s="23"/>
      <c r="H27" s="23"/>
      <c r="I27" s="1"/>
      <c r="J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6" t="s">
        <v>25</v>
      </c>
      <c r="J28" s="7">
        <f>SUM(J22:J27)</f>
        <v>16400</v>
      </c>
      <c r="K28" s="8"/>
      <c r="L28" s="9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0" t="s">
        <v>26</v>
      </c>
      <c r="J29" s="11">
        <f>J28*0.16</f>
        <v>2624</v>
      </c>
      <c r="L29" s="12"/>
    </row>
    <row r="30" spans="1:12" x14ac:dyDescent="0.2">
      <c r="F30" s="1"/>
      <c r="G30" s="1"/>
      <c r="H30" s="1"/>
      <c r="I30" s="13" t="s">
        <v>23</v>
      </c>
      <c r="J30" s="14">
        <f>J28+J29</f>
        <v>19024</v>
      </c>
    </row>
    <row r="31" spans="1:12" ht="16" thickBot="1" x14ac:dyDescent="0.25">
      <c r="F31" s="15"/>
      <c r="G31" s="15"/>
      <c r="H31" s="1"/>
      <c r="I31" s="1"/>
      <c r="J31" s="1"/>
    </row>
    <row r="32" spans="1:12" x14ac:dyDescent="0.2">
      <c r="A32" s="56" t="s">
        <v>35</v>
      </c>
      <c r="B32" s="67"/>
      <c r="C32" s="68"/>
      <c r="D32" s="68"/>
      <c r="E32" s="68"/>
      <c r="F32" s="68"/>
      <c r="G32" s="68"/>
      <c r="H32" s="68"/>
      <c r="I32" s="68"/>
      <c r="J32" s="69"/>
    </row>
    <row r="33" spans="2:10" x14ac:dyDescent="0.2">
      <c r="B33" s="70"/>
      <c r="C33" s="71"/>
      <c r="D33" s="71"/>
      <c r="E33" s="71"/>
      <c r="F33" s="71"/>
      <c r="G33" s="71"/>
      <c r="H33" s="71"/>
      <c r="I33" s="71"/>
      <c r="J33" s="72"/>
    </row>
    <row r="34" spans="2:10" ht="16" thickBot="1" x14ac:dyDescent="0.25">
      <c r="B34" s="73"/>
      <c r="C34" s="74"/>
      <c r="D34" s="74"/>
      <c r="E34" s="74"/>
      <c r="F34" s="74"/>
      <c r="G34" s="74"/>
      <c r="H34" s="74"/>
      <c r="I34" s="74"/>
      <c r="J34" s="75"/>
    </row>
  </sheetData>
  <mergeCells count="32">
    <mergeCell ref="B32:J34"/>
    <mergeCell ref="B7:G7"/>
    <mergeCell ref="H7:J12"/>
    <mergeCell ref="A9:A11"/>
    <mergeCell ref="B9:G11"/>
    <mergeCell ref="B12:G12"/>
    <mergeCell ref="B4:E4"/>
    <mergeCell ref="H4:J4"/>
    <mergeCell ref="B8:G8"/>
    <mergeCell ref="B13:G13"/>
    <mergeCell ref="H13:J15"/>
    <mergeCell ref="B14:G14"/>
    <mergeCell ref="B15:G15"/>
    <mergeCell ref="C21:D21"/>
    <mergeCell ref="E21:G21"/>
    <mergeCell ref="H21:I21"/>
    <mergeCell ref="C22:D22"/>
    <mergeCell ref="E22:G22"/>
    <mergeCell ref="H22:I22"/>
    <mergeCell ref="C23:D23"/>
    <mergeCell ref="E23:G23"/>
    <mergeCell ref="H23:I23"/>
    <mergeCell ref="C26:D26"/>
    <mergeCell ref="E26:G26"/>
    <mergeCell ref="H26:I26"/>
    <mergeCell ref="C27:H27"/>
    <mergeCell ref="C24:D24"/>
    <mergeCell ref="E24:G24"/>
    <mergeCell ref="H24:I24"/>
    <mergeCell ref="C25:D25"/>
    <mergeCell ref="E25:G25"/>
    <mergeCell ref="H25:I25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C15:G19 B15" xr:uid="{B91AB1A8-22BB-4081-8909-8E7921D20F54}">
      <formula1>INDIRECT(++$B$14)</formula1>
    </dataValidation>
  </dataValidations>
  <pageMargins left="0.70866141732283505" right="0.70866141732283505" top="0.74803149606299202" bottom="0.74803149606299202" header="0.31496062992126" footer="0.31496062992126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PROFORMA MVC CESAMA FISCAL</vt:lpstr>
      <vt:lpstr>'PROFORMA MVC CESAMA FISCAL'!Área_de_impresión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2026-03-03T17:41:04Z</dcterms:modified>
</cp:coreProperties>
</file>