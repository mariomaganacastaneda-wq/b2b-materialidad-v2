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39C8C648-3A11-E64A-88EE-F6E3B392B81D}" xr6:coauthVersionLast="47" xr6:coauthVersionMax="47" xr10:uidLastSave="{00000000-0000-0000-0000-000000000000}"/>
  <bookViews>
    <workbookView xWindow="0" yWindow="500" windowWidth="19680" windowHeight="15220" xr2:uid="{00000000-000D-0000-FFFF-FFFF00000000}"/>
  </bookViews>
  <sheets>
    <sheet name="MMC CROMAPRIT " sheetId="4" r:id="rId1"/>
    <sheet name="LISTAS" sheetId="5" state="hidden" r:id="rId2"/>
    <sheet name="PAGO" sheetId="9" state="hidden" r:id="rId3"/>
  </sheets>
  <definedNames>
    <definedName name="_xlnm.Print_Area" localSheetId="0">'MMC CROMAPRIT '!$A$1:$K$40</definedName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6" i="4" l="1"/>
  <c r="J27" i="4"/>
  <c r="J28" i="4"/>
  <c r="J29" i="4"/>
  <c r="J24" i="4"/>
  <c r="J25" i="4" l="1"/>
  <c r="J30" i="4" l="1"/>
  <c r="J31" i="4" l="1"/>
  <c r="J23" i="4" l="1"/>
  <c r="J33" i="4" s="1"/>
  <c r="J34" i="4" s="1"/>
  <c r="J35" i="4" l="1"/>
</calcChain>
</file>

<file path=xl/sharedStrings.xml><?xml version="1.0" encoding="utf-8"?>
<sst xmlns="http://schemas.openxmlformats.org/spreadsheetml/2006/main" count="135" uniqueCount="125">
  <si>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</si>
  <si>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</si>
  <si>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</si>
  <si>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</si>
  <si>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</si>
  <si>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</si>
  <si>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</si>
  <si>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</si>
  <si>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</si>
  <si>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</si>
  <si>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</si>
  <si>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</si>
  <si>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</si>
  <si>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</si>
  <si>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</si>
  <si>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</si>
  <si>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</si>
  <si>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</si>
  <si>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</si>
  <si>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</si>
  <si>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</si>
  <si>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</si>
  <si>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</si>
  <si>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</si>
  <si>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</si>
  <si>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</si>
  <si>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</si>
  <si>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</si>
  <si>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</si>
  <si>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</si>
  <si>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</si>
  <si>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</si>
  <si>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</si>
  <si>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</si>
  <si>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</si>
  <si>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</si>
  <si>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</si>
  <si>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</si>
  <si>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</si>
  <si>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</si>
  <si>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</si>
  <si>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</si>
  <si>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</si>
  <si>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</si>
  <si>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</si>
  <si>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</si>
  <si>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</si>
  <si>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</si>
  <si>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</si>
  <si>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</si>
  <si>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</si>
  <si>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</si>
  <si>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</si>
  <si>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</si>
  <si>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</si>
  <si>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</si>
  <si>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</si>
  <si>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</si>
  <si>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</si>
  <si>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</si>
  <si>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</si>
  <si>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</si>
  <si>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</si>
  <si>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</si>
  <si>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</si>
  <si>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</si>
  <si>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</si>
  <si>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</si>
  <si>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</si>
  <si>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</si>
  <si>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</si>
  <si>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</si>
  <si>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</si>
  <si>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</si>
  <si>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</si>
  <si>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</si>
  <si>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</si>
  <si>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</si>
  <si>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</si>
  <si>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</si>
  <si>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</si>
  <si>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</si>
  <si>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</si>
  <si>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</si>
  <si>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</si>
  <si>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</si>
  <si>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</si>
  <si>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</si>
  <si>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</si>
  <si>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</si>
  <si>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</si>
  <si>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</si>
  <si>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</si>
  <si>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</si>
  <si>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</si>
  <si>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</si>
  <si>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</si>
  <si>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</si>
  <si>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</si>
  <si>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</si>
  <si>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</si>
  <si>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</si>
  <si>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</si>
  <si>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</si>
  <si>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</si>
  <si>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</si>
  <si>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</si>
  <si>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</si>
  <si>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CROMAPRINT MEXICANA, S.A. DE C.V.</t>
  </si>
  <si>
    <t>CME131211L45</t>
  </si>
  <si>
    <t>CERRADA DE COPAN,  No. 2  COL. SAN MIGUEL XOCHIMANGA, ATIZAPAN DE
ZARAGOZAC.P.52927</t>
  </si>
  <si>
    <t>MANTENIMIENTO A REDES Y CAMARAS CCTV, POR EL PERIODO DE MARZO A ABRIL DEL 2026, SEGÚN CONTRATO.</t>
  </si>
  <si>
    <t>MMC930113KT9</t>
  </si>
  <si>
    <t>RFC  CLIENTE :</t>
  </si>
  <si>
    <t>RFC de EMISOR</t>
  </si>
  <si>
    <t>Nombre del EMISOR</t>
  </si>
  <si>
    <t>M.M.C. ELECTRONICA S.A. DE C.V.</t>
  </si>
  <si>
    <t>PREFACTURA o TIMBRADO</t>
  </si>
  <si>
    <t>PREFACTURA</t>
  </si>
  <si>
    <t xml:space="preserve">REQUIERE COTIZACION (S/N) </t>
  </si>
  <si>
    <t>S</t>
  </si>
  <si>
    <t>REQUIRE CONTRATO (S/N)</t>
  </si>
  <si>
    <t xml:space="preserve">SE TIENE ANTICIPO (S/N) </t>
  </si>
  <si>
    <t>N</t>
  </si>
  <si>
    <t>NOTA  de FACTURA: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</si>
</sst>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1" fillId="3" borderId="2" xfId="0" applyFont="1" applyFill="1" applyBorder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</xdr:colOff>
      <xdr:row>0</xdr:row>
      <xdr:rowOff>0</xdr:rowOff>
    </xdr:from>
    <xdr:to>
      <xdr:col>1</xdr:col>
      <xdr:colOff>672353</xdr:colOff>
      <xdr:row>3</xdr:row>
      <xdr:rowOff>122563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F011E1-B2DA-EF6F-90DD-2DB74AFDB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" y="0"/>
          <a:ext cx="2300941" cy="70526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J39"/>
  <sheetViews>
    <sheetView showGridLines="0" tabSelected="1" zoomScale="85" zoomScaleNormal="85" workbookViewId="0">
      <selection activeCell="B37" sqref="B37:J39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  <col min="11" max="11" width="3.83203125" customWidth="1"/>
  </cols>
  <sheetData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4" t="s">
        <v>9</v>
      </c>
      <c r="B5" s="57"/>
      <c r="C5" s="58"/>
      <c r="D5" s="58"/>
      <c r="E5" s="59"/>
      <c r="F5" s="1"/>
      <c r="G5" s="14" t="s">
        <v>7</v>
      </c>
      <c r="H5" s="60" t="s">
        <v>8</v>
      </c>
      <c r="I5" s="60"/>
      <c r="J5" s="60"/>
    </row>
    <row r="6" spans="1:10" x14ac:dyDescent="0.2">
      <c r="A6" s="3" t="s">
        <v>115</v>
      </c>
      <c r="B6" s="3" t="s">
        <v>116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3" t="s">
        <v>114</v>
      </c>
      <c r="B7" s="3" t="s">
        <v>112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4" t="s">
        <v>72</v>
      </c>
      <c r="B8" s="57" t="s">
        <v>108</v>
      </c>
      <c r="C8" s="58"/>
      <c r="D8" s="58"/>
      <c r="E8" s="58"/>
      <c r="F8" s="58"/>
      <c r="G8" s="58"/>
      <c r="H8" s="58"/>
      <c r="I8" s="58"/>
      <c r="J8" s="59"/>
    </row>
    <row r="9" spans="1:10" x14ac:dyDescent="0.2">
      <c r="A9" s="15" t="s">
        <v>113</v>
      </c>
      <c r="B9" s="33" t="s">
        <v>109</v>
      </c>
      <c r="C9" s="34"/>
      <c r="D9" s="34"/>
      <c r="E9" s="34"/>
      <c r="F9" s="34"/>
      <c r="G9" s="35"/>
      <c r="H9" s="63" t="s">
        <v>71</v>
      </c>
      <c r="I9" s="64"/>
      <c r="J9" s="65"/>
    </row>
    <row r="10" spans="1:10" x14ac:dyDescent="0.2">
      <c r="A10" s="30" t="s">
        <v>86</v>
      </c>
      <c r="B10" s="36" t="s">
        <v>110</v>
      </c>
      <c r="C10" s="37"/>
      <c r="D10" s="37"/>
      <c r="E10" s="37"/>
      <c r="F10" s="37"/>
      <c r="G10" s="38"/>
      <c r="H10" s="66"/>
      <c r="I10" s="67"/>
      <c r="J10" s="68"/>
    </row>
    <row r="11" spans="1:10" x14ac:dyDescent="0.2">
      <c r="A11" s="31"/>
      <c r="B11" s="39"/>
      <c r="C11" s="40"/>
      <c r="D11" s="40"/>
      <c r="E11" s="40"/>
      <c r="F11" s="40"/>
      <c r="G11" s="41"/>
      <c r="H11" s="66"/>
      <c r="I11" s="67"/>
      <c r="J11" s="68"/>
    </row>
    <row r="12" spans="1:10" x14ac:dyDescent="0.2">
      <c r="A12" s="32"/>
      <c r="B12" s="42"/>
      <c r="C12" s="43"/>
      <c r="D12" s="43"/>
      <c r="E12" s="43"/>
      <c r="F12" s="43"/>
      <c r="G12" s="44"/>
      <c r="H12" s="66"/>
      <c r="I12" s="67"/>
      <c r="J12" s="68"/>
    </row>
    <row r="13" spans="1:10" x14ac:dyDescent="0.2">
      <c r="A13" s="14" t="s">
        <v>67</v>
      </c>
      <c r="B13" s="45" t="s">
        <v>14</v>
      </c>
      <c r="C13" s="46"/>
      <c r="D13" s="46"/>
      <c r="E13" s="46"/>
      <c r="F13" s="46"/>
      <c r="G13" s="47"/>
      <c r="H13" s="69"/>
      <c r="I13" s="70"/>
      <c r="J13" s="71"/>
    </row>
    <row r="14" spans="1:10" x14ac:dyDescent="0.2">
      <c r="A14" s="16" t="s">
        <v>68</v>
      </c>
      <c r="B14" s="45" t="s">
        <v>39</v>
      </c>
      <c r="C14" s="46"/>
      <c r="D14" s="46"/>
      <c r="E14" s="46"/>
      <c r="F14" s="46"/>
      <c r="G14" s="47"/>
      <c r="H14" s="48" t="s">
        <v>66</v>
      </c>
      <c r="I14" s="49"/>
      <c r="J14" s="50"/>
    </row>
    <row r="15" spans="1:10" x14ac:dyDescent="0.2">
      <c r="A15" s="16" t="s">
        <v>69</v>
      </c>
      <c r="B15" s="45" t="s">
        <v>106</v>
      </c>
      <c r="C15" s="46"/>
      <c r="D15" s="46"/>
      <c r="E15" s="46"/>
      <c r="F15" s="46"/>
      <c r="G15" s="47"/>
      <c r="H15" s="51"/>
      <c r="I15" s="52"/>
      <c r="J15" s="53"/>
    </row>
    <row r="16" spans="1:10" x14ac:dyDescent="0.2">
      <c r="A16" s="16" t="s">
        <v>70</v>
      </c>
      <c r="B16" s="45" t="s">
        <v>101</v>
      </c>
      <c r="C16" s="46"/>
      <c r="D16" s="46"/>
      <c r="E16" s="46"/>
      <c r="F16" s="46"/>
      <c r="G16" s="47"/>
      <c r="H16" s="54"/>
      <c r="I16" s="55"/>
      <c r="J16" s="56"/>
    </row>
    <row r="17" spans="1:10" x14ac:dyDescent="0.2">
      <c r="A17" s="18" t="s">
        <v>117</v>
      </c>
      <c r="B17" s="1" t="s">
        <v>118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8" t="s">
        <v>119</v>
      </c>
      <c r="B18" s="19" t="s">
        <v>120</v>
      </c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8" t="s">
        <v>121</v>
      </c>
      <c r="B19" s="19" t="s">
        <v>120</v>
      </c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8" t="s">
        <v>122</v>
      </c>
      <c r="B20" s="19" t="s">
        <v>123</v>
      </c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3" t="s">
        <v>0</v>
      </c>
      <c r="B22" s="17" t="s">
        <v>1</v>
      </c>
      <c r="C22" s="61" t="s">
        <v>2</v>
      </c>
      <c r="D22" s="62"/>
      <c r="E22" s="61" t="s">
        <v>3</v>
      </c>
      <c r="F22" s="72"/>
      <c r="G22" s="62"/>
      <c r="H22" s="61" t="s">
        <v>4</v>
      </c>
      <c r="I22" s="62"/>
      <c r="J22" s="17" t="s">
        <v>5</v>
      </c>
    </row>
    <row r="23" spans="1:10" ht="63.5" customHeight="1" x14ac:dyDescent="0.2">
      <c r="A23" s="4">
        <v>81112300</v>
      </c>
      <c r="B23" s="11">
        <v>1</v>
      </c>
      <c r="C23" s="73" t="s">
        <v>49</v>
      </c>
      <c r="D23" s="74"/>
      <c r="E23" s="77" t="s">
        <v>111</v>
      </c>
      <c r="F23" s="78"/>
      <c r="G23" s="79"/>
      <c r="H23" s="75">
        <v>12000</v>
      </c>
      <c r="I23" s="76"/>
      <c r="J23" s="10">
        <f t="shared" ref="J23:J31" si="0">B23*H23</f>
        <v>12000</v>
      </c>
    </row>
    <row r="24" spans="1:10" hidden="1" x14ac:dyDescent="0.2">
      <c r="A24" s="4"/>
      <c r="B24" s="11"/>
      <c r="C24" s="73"/>
      <c r="D24" s="74"/>
      <c r="E24" s="80"/>
      <c r="F24" s="81"/>
      <c r="G24" s="82"/>
      <c r="H24" s="75"/>
      <c r="I24" s="76"/>
      <c r="J24" s="10">
        <f t="shared" si="0"/>
        <v>0</v>
      </c>
    </row>
    <row r="25" spans="1:10" hidden="1" x14ac:dyDescent="0.2">
      <c r="A25" s="4"/>
      <c r="B25" s="11"/>
      <c r="C25" s="73"/>
      <c r="D25" s="74"/>
      <c r="E25" s="80"/>
      <c r="F25" s="81"/>
      <c r="G25" s="82"/>
      <c r="H25" s="75"/>
      <c r="I25" s="76"/>
      <c r="J25" s="10">
        <f t="shared" si="0"/>
        <v>0</v>
      </c>
    </row>
    <row r="26" spans="1:10" hidden="1" x14ac:dyDescent="0.2">
      <c r="A26" s="4"/>
      <c r="B26" s="11"/>
      <c r="C26" s="73"/>
      <c r="D26" s="74"/>
      <c r="E26" s="80"/>
      <c r="F26" s="81"/>
      <c r="G26" s="82"/>
      <c r="H26" s="75"/>
      <c r="I26" s="76"/>
      <c r="J26" s="10">
        <f t="shared" si="0"/>
        <v>0</v>
      </c>
    </row>
    <row r="27" spans="1:10" hidden="1" x14ac:dyDescent="0.2">
      <c r="A27" s="4"/>
      <c r="B27" s="11"/>
      <c r="C27" s="73"/>
      <c r="D27" s="74"/>
      <c r="E27" s="80"/>
      <c r="F27" s="81"/>
      <c r="G27" s="82"/>
      <c r="H27" s="75"/>
      <c r="I27" s="76"/>
      <c r="J27" s="10">
        <f t="shared" si="0"/>
        <v>0</v>
      </c>
    </row>
    <row r="28" spans="1:10" hidden="1" x14ac:dyDescent="0.2">
      <c r="A28" s="4"/>
      <c r="B28" s="11"/>
      <c r="C28" s="73"/>
      <c r="D28" s="74"/>
      <c r="E28" s="80"/>
      <c r="F28" s="81"/>
      <c r="G28" s="82"/>
      <c r="H28" s="75"/>
      <c r="I28" s="76"/>
      <c r="J28" s="10">
        <f t="shared" si="0"/>
        <v>0</v>
      </c>
    </row>
    <row r="29" spans="1:10" hidden="1" x14ac:dyDescent="0.2">
      <c r="A29" s="4"/>
      <c r="B29" s="11"/>
      <c r="C29" s="73"/>
      <c r="D29" s="74"/>
      <c r="E29" s="80"/>
      <c r="F29" s="81"/>
      <c r="G29" s="82"/>
      <c r="H29" s="75"/>
      <c r="I29" s="76"/>
      <c r="J29" s="10">
        <f t="shared" si="0"/>
        <v>0</v>
      </c>
    </row>
    <row r="30" spans="1:10" hidden="1" x14ac:dyDescent="0.2">
      <c r="A30" s="4"/>
      <c r="B30" s="11"/>
      <c r="C30" s="73"/>
      <c r="D30" s="74"/>
      <c r="E30" s="80"/>
      <c r="F30" s="81"/>
      <c r="G30" s="82"/>
      <c r="H30" s="75"/>
      <c r="I30" s="76"/>
      <c r="J30" s="10">
        <f t="shared" si="0"/>
        <v>0</v>
      </c>
    </row>
    <row r="31" spans="1:10" hidden="1" x14ac:dyDescent="0.2">
      <c r="A31" s="4"/>
      <c r="B31" s="11"/>
      <c r="C31" s="73"/>
      <c r="D31" s="74"/>
      <c r="E31" s="80"/>
      <c r="F31" s="81"/>
      <c r="G31" s="82"/>
      <c r="H31" s="75"/>
      <c r="I31" s="76"/>
      <c r="J31" s="10">
        <f t="shared" si="0"/>
        <v>0</v>
      </c>
    </row>
    <row r="32" spans="1:10" x14ac:dyDescent="0.2">
      <c r="A32" s="1"/>
      <c r="B32" s="1"/>
      <c r="C32" s="83"/>
      <c r="D32" s="83"/>
      <c r="E32" s="83"/>
      <c r="F32" s="83"/>
      <c r="G32" s="83"/>
      <c r="H32" s="84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5" t="s">
        <v>6</v>
      </c>
      <c r="J33" s="6">
        <f>SUM(J23:J32)</f>
        <v>12000</v>
      </c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7" t="s">
        <v>73</v>
      </c>
      <c r="J34" s="8">
        <f>J33*0.16</f>
        <v>1920</v>
      </c>
    </row>
    <row r="35" spans="1:10" x14ac:dyDescent="0.2">
      <c r="F35" s="1"/>
      <c r="G35" s="1"/>
      <c r="H35" s="1"/>
      <c r="I35" s="2" t="s">
        <v>5</v>
      </c>
      <c r="J35" s="9">
        <f>J33+J34</f>
        <v>13920</v>
      </c>
    </row>
    <row r="36" spans="1:10" ht="16" thickBot="1" x14ac:dyDescent="0.25">
      <c r="F36" s="12"/>
      <c r="G36" s="12"/>
      <c r="H36" s="1"/>
      <c r="I36" s="1"/>
      <c r="J36" s="1"/>
    </row>
    <row r="37" spans="1:10" ht="15" customHeight="1" x14ac:dyDescent="0.2">
      <c r="A37" s="20" t="s">
        <v>124</v>
      </c>
      <c r="B37" s="21"/>
      <c r="C37" s="22"/>
      <c r="D37" s="22"/>
      <c r="E37" s="22"/>
      <c r="F37" s="22"/>
      <c r="G37" s="22"/>
      <c r="H37" s="22"/>
      <c r="I37" s="22"/>
      <c r="J37" s="23"/>
    </row>
    <row r="38" spans="1:10" x14ac:dyDescent="0.2">
      <c r="B38" s="24"/>
      <c r="C38" s="25"/>
      <c r="D38" s="25"/>
      <c r="E38" s="25"/>
      <c r="F38" s="25"/>
      <c r="G38" s="25"/>
      <c r="H38" s="25"/>
      <c r="I38" s="25"/>
      <c r="J38" s="26"/>
    </row>
    <row r="39" spans="1:10" ht="16" thickBot="1" x14ac:dyDescent="0.25">
      <c r="B39" s="27"/>
      <c r="C39" s="28"/>
      <c r="D39" s="28"/>
      <c r="E39" s="28"/>
      <c r="F39" s="28"/>
      <c r="G39" s="28"/>
      <c r="H39" s="28"/>
      <c r="I39" s="28"/>
      <c r="J39" s="29"/>
    </row>
  </sheetData>
  <mergeCells count="44">
    <mergeCell ref="C32:H32"/>
    <mergeCell ref="C26:D26"/>
    <mergeCell ref="C27:D27"/>
    <mergeCell ref="C28:D28"/>
    <mergeCell ref="E25:G25"/>
    <mergeCell ref="E26:G26"/>
    <mergeCell ref="E27:G27"/>
    <mergeCell ref="E28:G28"/>
    <mergeCell ref="C29:D29"/>
    <mergeCell ref="E29:G29"/>
    <mergeCell ref="H29:I29"/>
    <mergeCell ref="C24:D24"/>
    <mergeCell ref="E24:G24"/>
    <mergeCell ref="H24:I24"/>
    <mergeCell ref="H25:I25"/>
    <mergeCell ref="H26:I26"/>
    <mergeCell ref="H27:I27"/>
    <mergeCell ref="H28:I28"/>
    <mergeCell ref="B5:E5"/>
    <mergeCell ref="H5:J5"/>
    <mergeCell ref="B8:J8"/>
    <mergeCell ref="C22:D22"/>
    <mergeCell ref="H22:I22"/>
    <mergeCell ref="B14:G14"/>
    <mergeCell ref="B15:G15"/>
    <mergeCell ref="B16:G16"/>
    <mergeCell ref="H9:J13"/>
    <mergeCell ref="E22:G22"/>
    <mergeCell ref="B37:J39"/>
    <mergeCell ref="A10:A12"/>
    <mergeCell ref="B9:G9"/>
    <mergeCell ref="B10:G12"/>
    <mergeCell ref="B13:G13"/>
    <mergeCell ref="H14:J16"/>
    <mergeCell ref="C23:D23"/>
    <mergeCell ref="H23:I23"/>
    <mergeCell ref="C31:D31"/>
    <mergeCell ref="H31:I31"/>
    <mergeCell ref="E23:G23"/>
    <mergeCell ref="E31:G31"/>
    <mergeCell ref="C30:D30"/>
    <mergeCell ref="E30:G30"/>
    <mergeCell ref="H30:I30"/>
    <mergeCell ref="C25:D25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6:G16" xr:uid="{00000000-0002-0000-0000-000004000000}">
      <formula1>INDIRECT(++$B$15)</formula1>
    </dataValidation>
  </dataValidations>
  <pageMargins left="0.7" right="0.7" top="0.75" bottom="0.75" header="0.3" footer="0.3"/>
  <pageSetup scale="9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B14:G14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B5:E5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C23:D31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B13:G13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B15:G15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M12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66406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74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77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90</v>
      </c>
      <c r="C8" t="s">
        <v>44</v>
      </c>
      <c r="E8" t="s">
        <v>54</v>
      </c>
      <c r="G8" t="s">
        <v>20</v>
      </c>
    </row>
    <row r="9" spans="1:7" x14ac:dyDescent="0.2">
      <c r="A9" t="s">
        <v>76</v>
      </c>
      <c r="C9" t="s">
        <v>45</v>
      </c>
      <c r="E9" t="s">
        <v>55</v>
      </c>
      <c r="G9" t="s">
        <v>21</v>
      </c>
    </row>
    <row r="10" spans="1:7" x14ac:dyDescent="0.2">
      <c r="A10" t="s">
        <v>84</v>
      </c>
      <c r="C10" t="s">
        <v>46</v>
      </c>
      <c r="E10" t="s">
        <v>56</v>
      </c>
      <c r="G10" t="s">
        <v>22</v>
      </c>
    </row>
    <row r="11" spans="1:7" x14ac:dyDescent="0.2">
      <c r="A11" t="s">
        <v>85</v>
      </c>
      <c r="C11" t="s">
        <v>47</v>
      </c>
      <c r="E11" t="s">
        <v>57</v>
      </c>
      <c r="G11" t="s">
        <v>23</v>
      </c>
    </row>
    <row r="12" spans="1:7" x14ac:dyDescent="0.2">
      <c r="A12" t="s">
        <v>87</v>
      </c>
      <c r="E12" t="s">
        <v>59</v>
      </c>
      <c r="G12" t="s">
        <v>24</v>
      </c>
    </row>
    <row r="13" spans="1:7" x14ac:dyDescent="0.2">
      <c r="A13" t="s">
        <v>88</v>
      </c>
      <c r="E13" t="s">
        <v>60</v>
      </c>
      <c r="G13" t="s">
        <v>25</v>
      </c>
    </row>
    <row r="14" spans="1:7" x14ac:dyDescent="0.2">
      <c r="A14" t="s">
        <v>89</v>
      </c>
      <c r="E14" t="s">
        <v>61</v>
      </c>
      <c r="G14" t="s">
        <v>26</v>
      </c>
    </row>
    <row r="15" spans="1:7" x14ac:dyDescent="0.2">
      <c r="A15" t="s">
        <v>94</v>
      </c>
      <c r="E15" t="s">
        <v>62</v>
      </c>
      <c r="G15" t="s">
        <v>27</v>
      </c>
    </row>
    <row r="16" spans="1:7" x14ac:dyDescent="0.2">
      <c r="A16" t="s">
        <v>95</v>
      </c>
      <c r="E16" t="s">
        <v>63</v>
      </c>
      <c r="G16" t="s">
        <v>28</v>
      </c>
    </row>
    <row r="17" spans="1:7" x14ac:dyDescent="0.2">
      <c r="A17" t="s">
        <v>96</v>
      </c>
      <c r="E17" t="s">
        <v>64</v>
      </c>
      <c r="G17" t="s">
        <v>29</v>
      </c>
    </row>
    <row r="18" spans="1:7" x14ac:dyDescent="0.2">
      <c r="A18" t="s">
        <v>97</v>
      </c>
      <c r="E18" t="s">
        <v>65</v>
      </c>
      <c r="G18" t="s">
        <v>30</v>
      </c>
    </row>
    <row r="19" spans="1:7" x14ac:dyDescent="0.2">
      <c r="A19" t="s">
        <v>98</v>
      </c>
      <c r="E19" t="s">
        <v>80</v>
      </c>
      <c r="G19" t="s">
        <v>31</v>
      </c>
    </row>
    <row r="20" spans="1:7" x14ac:dyDescent="0.2">
      <c r="A20" t="s">
        <v>99</v>
      </c>
      <c r="E20" t="s">
        <v>75</v>
      </c>
      <c r="G20" t="s">
        <v>32</v>
      </c>
    </row>
    <row r="21" spans="1:7" x14ac:dyDescent="0.2">
      <c r="A21" t="s">
        <v>100</v>
      </c>
      <c r="E21" t="s">
        <v>78</v>
      </c>
      <c r="G21" t="s">
        <v>33</v>
      </c>
    </row>
    <row r="22" spans="1:7" x14ac:dyDescent="0.2">
      <c r="A22" t="s">
        <v>107</v>
      </c>
      <c r="E22" t="s">
        <v>79</v>
      </c>
      <c r="G22" t="s">
        <v>34</v>
      </c>
    </row>
    <row r="23" spans="1:7" x14ac:dyDescent="0.2">
      <c r="E23" t="s">
        <v>81</v>
      </c>
      <c r="G23" t="s">
        <v>35</v>
      </c>
    </row>
    <row r="24" spans="1:7" x14ac:dyDescent="0.2">
      <c r="E24" t="s">
        <v>82</v>
      </c>
      <c r="G24" t="s">
        <v>36</v>
      </c>
    </row>
    <row r="25" spans="1:7" x14ac:dyDescent="0.2">
      <c r="E25" t="s">
        <v>83</v>
      </c>
    </row>
    <row r="26" spans="1:7" x14ac:dyDescent="0.2">
      <c r="E26" t="s">
        <v>91</v>
      </c>
    </row>
    <row r="27" spans="1:7" x14ac:dyDescent="0.2">
      <c r="E27" t="s">
        <v>92</v>
      </c>
    </row>
    <row r="28" spans="1:7" x14ac:dyDescent="0.2">
      <c r="E28" t="s">
        <v>93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103</v>
      </c>
      <c r="B1" t="s">
        <v>104</v>
      </c>
      <c r="C1" t="s">
        <v>106</v>
      </c>
      <c r="D1" t="s">
        <v>105</v>
      </c>
    </row>
    <row r="2" spans="1:4" x14ac:dyDescent="0.2">
      <c r="A2" t="s">
        <v>101</v>
      </c>
      <c r="B2" t="s">
        <v>101</v>
      </c>
      <c r="C2" t="s">
        <v>101</v>
      </c>
      <c r="D2" t="s">
        <v>102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MMC CROMAPRIT </vt:lpstr>
      <vt:lpstr>LISTAS</vt:lpstr>
      <vt:lpstr>PAGO</vt:lpstr>
      <vt:lpstr>'MMC CROMAPRIT '!Área_de_impresión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2024-06-21T21:35:40Z</cp:lastPrinted>
  <dcterms:created xsi:type="dcterms:W3CDTF">2017-12-04T17:48:14Z</dcterms:created>
  <dcterms:modified xsi:type="dcterms:W3CDTF">2026-03-03T18:41:01Z</dcterms:modified>
</cp:coreProperties>
</file>