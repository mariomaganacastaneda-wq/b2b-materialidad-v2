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7"/>
  <workbookPr autoCompressPictures="0"/>
  <mc:AlternateContent xmlns:mc="http://schemas.openxmlformats.org/markup-compatibility/2006">
    <mc:Choice Requires="x15">
      <x15ac:absPath xmlns:x15ac="http://schemas.microsoft.com/office/spreadsheetml/2010/11/ac" url="/Users/ricardo/Documents/0 Descargas apple/"/>
    </mc:Choice>
  </mc:AlternateContent>
  <xr:revisionPtr revIDLastSave="0" documentId="13_ncr:1_{3C2C5AF3-4863-2649-A56A-B762F0A3B36F}" xr6:coauthVersionLast="47" xr6:coauthVersionMax="47" xr10:uidLastSave="{00000000-0000-0000-0000-000000000000}"/>
  <bookViews>
    <workbookView xWindow="2380" yWindow="960" windowWidth="23540" windowHeight="14980" xr2:uid="{00000000-000D-0000-FFFF-FFFF00000000}"/>
  </bookViews>
  <sheets>
    <sheet name="PROFORMA MVC CESAMA FINANCIERA" sheetId="4" r:id="rId1"/>
    <sheet name="LISTAS" sheetId="5" state="hidden" r:id="rId2"/>
    <sheet name="PAGO" sheetId="9" state="hidden" r:id="rId3"/>
  </sheets>
  <definedNames>
    <definedName name="EMPRESAS">Tabla18[[#Headers],[Empresas]]</definedName>
    <definedName name="REGIMEN_FISCAL">Tabla2[[#Headers],[Regimen fiscal]]</definedName>
    <definedName name="ROPA">#REF!</definedName>
    <definedName name="UNIDAD">Tabla6[[#Headers],[UNIDAD]]</definedName>
    <definedName name="USO_CFDI">Tabla3[[#Headers],[USO DE CFDI]]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24" i="4" l="1"/>
  <c r="J25" i="4"/>
  <c r="J26" i="4"/>
  <c r="J23" i="4"/>
  <c r="J22" i="4" l="1"/>
  <c r="J28" i="4" l="1"/>
  <c r="J29" i="4" s="1"/>
  <c r="J30" i="4" l="1"/>
</calcChain>
</file>

<file path=xl/sharedStrings.xml><?xml version="1.0" encoding="utf-8"?>
<sst xmlns="http://schemas.openxmlformats.org/spreadsheetml/2006/main" count="134" uniqueCount="125">
  <si>
    <t>CLAVE DEL PRODUCTO</t>
  </si>
  <si>
    <t>CANTIDAD</t>
  </si>
  <si>
    <t>UNIDAD</t>
  </si>
  <si>
    <t>DESCRIPCION</t>
  </si>
  <si>
    <t>Precio Unitario</t>
  </si>
  <si>
    <t>Total</t>
  </si>
  <si>
    <t>Subtotal</t>
  </si>
  <si>
    <t>TIPO DE COMPROBANTE</t>
  </si>
  <si>
    <t>INGRESO</t>
  </si>
  <si>
    <t>Empresa que emite:</t>
  </si>
  <si>
    <t>NEOCONSTRUYENDO</t>
  </si>
  <si>
    <t>PROMOSERVICIOS</t>
  </si>
  <si>
    <t>KUNEM</t>
  </si>
  <si>
    <t>Empresas</t>
  </si>
  <si>
    <t>601-General de Ley Personas Morales</t>
  </si>
  <si>
    <t>603-Personas Morales con Fines no Lucrativos</t>
  </si>
  <si>
    <t>605- Sueldos y Salarios e Ingresos Asimilados a Salarios</t>
  </si>
  <si>
    <t>607-Régimen de Enajenación o Adquisición de Bienes</t>
  </si>
  <si>
    <t>606-Arrendamiento</t>
  </si>
  <si>
    <t>608-Demás ingresos</t>
  </si>
  <si>
    <t>609-Consolidación</t>
  </si>
  <si>
    <t>610-Residentes en el Extranjero sin Establecimiento Permanente en México</t>
  </si>
  <si>
    <t>611- Ingresos por Dividendos (socios y accionistas)</t>
  </si>
  <si>
    <t>612- Personas Físicas con Actividades Empresariales y Profesionales</t>
  </si>
  <si>
    <t>614- Ingresos por intereses</t>
  </si>
  <si>
    <t>615-Régimen de los ingresos por obtención de premios</t>
  </si>
  <si>
    <t>616- Sin obligaciones fiscales</t>
  </si>
  <si>
    <t>620- Sociedades Cooperativas de Producción que optan por diferir sus ingresos</t>
  </si>
  <si>
    <t>621- Incorporación Fiscal</t>
  </si>
  <si>
    <t>622-Actividades Agrícolas, Ganaderas, Silvícolas y Pesqueras</t>
  </si>
  <si>
    <t>623- Opcional para Grupos de Sociedades</t>
  </si>
  <si>
    <t>624-Coordinados</t>
  </si>
  <si>
    <t>625-Régimen de las Actividades Empresariales con ingresos a través de Plataformas Tecnológicas</t>
  </si>
  <si>
    <t>626-Régimen Simplificado de Confianza</t>
  </si>
  <si>
    <t>628-Hidrocarburos</t>
  </si>
  <si>
    <t>629-De los Regímenes Fiscales Preferentes y de las Empresas Multinacionales</t>
  </si>
  <si>
    <t>630-Enajenación de acciones en bolsa de valores</t>
  </si>
  <si>
    <t>Regimen fiscal</t>
  </si>
  <si>
    <t>G01-ADQUISICION DE MERCANCIAS</t>
  </si>
  <si>
    <t>G03-GASTOS EN GENERAL</t>
  </si>
  <si>
    <t>I01 -CONSTRUCCIONES</t>
  </si>
  <si>
    <t>I02 - MOBILIARIO Y EQUIPO DE OFICINA POR INVERSION</t>
  </si>
  <si>
    <t>I03- EQUIPO DE TRANSPORTE</t>
  </si>
  <si>
    <t>I04- EQUIPO DE COMPUTO Y ACCESORIOS</t>
  </si>
  <si>
    <t>I05- DADOS, TROQUELES, MOLDES, MATRICES Y HERRAMIENTA</t>
  </si>
  <si>
    <t>I06- COMUNICACIONES SATELITALES</t>
  </si>
  <si>
    <t>I08- OTRA MAQUINARIA Y EQUIPO</t>
  </si>
  <si>
    <t>S01- SIN EFECTOS FISCALES</t>
  </si>
  <si>
    <t>USO DE CFDI</t>
  </si>
  <si>
    <t>E48-SERVICIO</t>
  </si>
  <si>
    <t>H87- PIEZA</t>
  </si>
  <si>
    <t>MTR- METRO</t>
  </si>
  <si>
    <t>MTK- MT2</t>
  </si>
  <si>
    <t>MTQ-MT3</t>
  </si>
  <si>
    <t>LTR-LITRO</t>
  </si>
  <si>
    <t>KT-KIT</t>
  </si>
  <si>
    <t>SET-JUEGO</t>
  </si>
  <si>
    <t>NT- TONELADA</t>
  </si>
  <si>
    <t>KGM-KILOGRAMO</t>
  </si>
  <si>
    <t>XBX-CAJA</t>
  </si>
  <si>
    <t>11-EQUIPOS</t>
  </si>
  <si>
    <t>XPK-PAQUETE</t>
  </si>
  <si>
    <t>PR-PAR</t>
  </si>
  <si>
    <t>DAY-DIA</t>
  </si>
  <si>
    <t>ACT-ACTIVIDAD</t>
  </si>
  <si>
    <t>LO-LOTE</t>
  </si>
  <si>
    <t>- Todos los campos son obligatorios</t>
  </si>
  <si>
    <t>RFC   :</t>
  </si>
  <si>
    <t>REGIMEN FISCAL:</t>
  </si>
  <si>
    <t>USO DEL CFD:</t>
  </si>
  <si>
    <t>FORMA DE PAGO:</t>
  </si>
  <si>
    <t>METODO DE PAGO:</t>
  </si>
  <si>
    <t>-se encuentra en el CIF.(Cliente o razon social completa, direccion fiscal y regimen fiscal)</t>
  </si>
  <si>
    <t>Cliente (Razon social):</t>
  </si>
  <si>
    <t>IVA16%</t>
  </si>
  <si>
    <t>KO INTERNATIONAL TRADING</t>
  </si>
  <si>
    <t>XSA-SACO</t>
  </si>
  <si>
    <t>LARSON SERVICES</t>
  </si>
  <si>
    <t>SERVINTE SERVICIOS INTEGRALES</t>
  </si>
  <si>
    <t>E27-DOSIS</t>
  </si>
  <si>
    <t>LM-METRO LINEAL</t>
  </si>
  <si>
    <t>STN-TONELADA O TONELADA CARGA</t>
  </si>
  <si>
    <t>A75-TONELADA DE CARGA</t>
  </si>
  <si>
    <t>26-TONELADA REAL</t>
  </si>
  <si>
    <t>XRO-ROLLO</t>
  </si>
  <si>
    <t xml:space="preserve">SPEED </t>
  </si>
  <si>
    <t>WOOW</t>
  </si>
  <si>
    <t>DIRECCION FISCAL:
(Completa tal cual
viene en CIF)</t>
  </si>
  <si>
    <t>GRUPO SERVIGIN</t>
  </si>
  <si>
    <t>CRETEC DISTRIBUTION</t>
  </si>
  <si>
    <t>CEILI SOLUTIONS</t>
  </si>
  <si>
    <t>TERRELL</t>
  </si>
  <si>
    <t>MON-MES</t>
  </si>
  <si>
    <t>11 -EQUIPO</t>
  </si>
  <si>
    <t>XBG-BOLSO</t>
  </si>
  <si>
    <t>YESGO&amp;ZEZJI</t>
  </si>
  <si>
    <t>INFOCAS</t>
  </si>
  <si>
    <t>CONSTRUWEREPA</t>
  </si>
  <si>
    <t>WENREY</t>
  </si>
  <si>
    <t>MPAQ</t>
  </si>
  <si>
    <t>LOZA</t>
  </si>
  <si>
    <t>INTECHMOMO</t>
  </si>
  <si>
    <t>PUE (PAGO EN UNA SOLA EXHIBICION)</t>
  </si>
  <si>
    <t>PPD (PAGO EN PARCIALIDADES O DIFERIDO)</t>
  </si>
  <si>
    <t>_01_EFECTIVO</t>
  </si>
  <si>
    <t>_02_CHEQUE</t>
  </si>
  <si>
    <t>_99_POR_DEFINIR</t>
  </si>
  <si>
    <t>_03_TRANSFERENCIA</t>
  </si>
  <si>
    <t>RC ROPH</t>
  </si>
  <si>
    <t>Av. 20 de Noviembre  # 211 Int. 309, Centro, Cuautitlan, 54800, Estado de México, Tel . 5558759701</t>
  </si>
  <si>
    <t>CESMA SEGURIDAD PRIVADA, S. DE R.L. DE C.V.</t>
  </si>
  <si>
    <t>CSP230721JC3</t>
  </si>
  <si>
    <t>E-48, SERVICIO</t>
  </si>
  <si>
    <t>CARGO QUINCENAL 5 DE 24 POR SERVICIOS DE ASESORIA FINANCIERA, SEGUN CONTRATO</t>
  </si>
  <si>
    <t>PREFACTURA o TIMBRADO</t>
  </si>
  <si>
    <t>PREFACTURA</t>
  </si>
  <si>
    <t xml:space="preserve">REQUIERE COTIZACION (S/N) </t>
  </si>
  <si>
    <t>S</t>
  </si>
  <si>
    <t>REQUIRE CONTRATO (S/N)</t>
  </si>
  <si>
    <t xml:space="preserve">SE TIENE ANTICIPO (S/N) </t>
  </si>
  <si>
    <t>N</t>
  </si>
  <si>
    <t>NOTA  de FACTURA:</t>
  </si>
  <si>
    <t>MAGAÑA, VIEYRA, CUEVA Y ASOCIADOS</t>
  </si>
  <si>
    <t>RFC Quien EMITE</t>
  </si>
  <si>
    <t>MVC151216BZ0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</si>
</sst>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[$-80A]d&quot; de &quot;mmmm&quot; de &quot;yyyy;@"/>
    <numFmt numFmtId="166" formatCode="_-&quot;$&quot;* #,##0.0000_-;\-&quot;$&quot;* #,##0.0000_-;_-&quot;$&quot;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5" fillId="0" borderId="0"/>
    <xf numFmtId="164" fontId="6" fillId="0" borderId="0" applyFont="0" applyFill="0" applyBorder="0" applyAlignment="0" applyProtection="0"/>
  </cellStyleXfs>
  <cellXfs count="82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1" fillId="2" borderId="0" xfId="0" applyFont="1" applyFill="1"/>
    <xf numFmtId="0" fontId="0" fillId="2" borderId="1" xfId="0" applyFill="1" applyBorder="1"/>
    <xf numFmtId="4" fontId="0" fillId="2" borderId="1" xfId="0" applyNumberFormat="1" applyFill="1" applyBorder="1"/>
    <xf numFmtId="0" fontId="2" fillId="2" borderId="1" xfId="0" applyFont="1" applyFill="1" applyBorder="1"/>
    <xf numFmtId="4" fontId="2" fillId="2" borderId="1" xfId="0" applyNumberFormat="1" applyFont="1" applyFill="1" applyBorder="1"/>
    <xf numFmtId="4" fontId="1" fillId="2" borderId="1" xfId="0" applyNumberFormat="1" applyFont="1" applyFill="1" applyBorder="1"/>
    <xf numFmtId="0" fontId="0" fillId="2" borderId="0" xfId="0" applyFill="1" applyAlignment="1">
      <alignment vertical="top"/>
    </xf>
    <xf numFmtId="164" fontId="0" fillId="0" borderId="0" xfId="2" applyFont="1"/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66" fontId="0" fillId="0" borderId="0" xfId="0" applyNumberFormat="1"/>
    <xf numFmtId="4" fontId="0" fillId="2" borderId="1" xfId="0" applyNumberForma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49" fontId="4" fillId="0" borderId="5" xfId="0" applyNumberFormat="1" applyFont="1" applyBorder="1" applyAlignment="1">
      <alignment horizontal="center" vertical="center" wrapText="1"/>
    </xf>
    <xf numFmtId="49" fontId="4" fillId="0" borderId="8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 vertical="center" wrapText="1"/>
    </xf>
    <xf numFmtId="49" fontId="4" fillId="2" borderId="7" xfId="0" applyNumberFormat="1" applyFont="1" applyFill="1" applyBorder="1" applyAlignment="1">
      <alignment horizontal="center" vertical="center" wrapText="1"/>
    </xf>
    <xf numFmtId="49" fontId="4" fillId="2" borderId="5" xfId="0" applyNumberFormat="1" applyFont="1" applyFill="1" applyBorder="1" applyAlignment="1">
      <alignment horizontal="center" vertical="center" wrapText="1"/>
    </xf>
    <xf numFmtId="49" fontId="4" fillId="2" borderId="8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49" fontId="4" fillId="2" borderId="12" xfId="0" applyNumberFormat="1" applyFont="1" applyFill="1" applyBorder="1" applyAlignment="1">
      <alignment horizontal="center" vertical="center" wrapText="1"/>
    </xf>
    <xf numFmtId="49" fontId="4" fillId="2" borderId="10" xfId="0" applyNumberFormat="1" applyFont="1" applyFill="1" applyBorder="1" applyAlignment="1">
      <alignment horizontal="center" vertical="center" wrapText="1"/>
    </xf>
    <xf numFmtId="49" fontId="4" fillId="2" borderId="6" xfId="0" applyNumberFormat="1" applyFont="1" applyFill="1" applyBorder="1" applyAlignment="1">
      <alignment horizontal="center" vertical="center" wrapText="1"/>
    </xf>
    <xf numFmtId="49" fontId="4" fillId="2" borderId="1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0" fillId="2" borderId="3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164" fontId="0" fillId="2" borderId="2" xfId="2" applyFont="1" applyFill="1" applyBorder="1" applyAlignment="1">
      <alignment horizontal="center" vertical="center" wrapText="1"/>
    </xf>
    <xf numFmtId="164" fontId="0" fillId="2" borderId="4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165" fontId="0" fillId="2" borderId="1" xfId="0" applyNumberFormat="1" applyFill="1" applyBorder="1"/>
    <xf numFmtId="0" fontId="0" fillId="2" borderId="0" xfId="0" applyFill="1" applyBorder="1" applyAlignment="1">
      <alignment horizontal="center"/>
    </xf>
    <xf numFmtId="49" fontId="4" fillId="2" borderId="0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5" xfId="0" applyFont="1" applyFill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49" fontId="4" fillId="0" borderId="0" xfId="0" applyNumberFormat="1" applyFont="1" applyBorder="1" applyAlignment="1">
      <alignment horizontal="center" vertical="center" wrapText="1"/>
    </xf>
    <xf numFmtId="0" fontId="0" fillId="2" borderId="4" xfId="0" applyFill="1" applyBorder="1" applyAlignment="1">
      <alignment horizontal="left"/>
    </xf>
  </cellXfs>
  <cellStyles count="3">
    <cellStyle name="Moneda" xfId="2" builtinId="4"/>
    <cellStyle name="Normal" xfId="0" builtinId="0"/>
    <cellStyle name="Normal 2" xfId="1" xr:uid="{B5153C4D-2755-4C3A-8BBB-50759A213F24}"/>
  </cellStyles>
  <dxfs count="0"/>
  <tableStyles count="0" defaultTableStyle="TableStyleMedium2" defaultPivotStyle="PivotStyleLight16"/>
  <colors>
    <mruColors>
      <color rgb="FF29C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702236</xdr:colOff>
      <xdr:row>3</xdr:row>
      <xdr:rowOff>119530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75AA1D-EFAC-4F49-BA32-3470D7693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2236" cy="7022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G1:G24" totalsRowShown="0">
  <autoFilter ref="G1:G24" xr:uid="{00000000-0009-0000-0100-000002000000}"/>
  <tableColumns count="1">
    <tableColumn id="1" xr3:uid="{00000000-0010-0000-0100-000001000000}" name="Regimen fisc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C1:C11" totalsRowShown="0">
  <autoFilter ref="C1:C11" xr:uid="{00000000-0009-0000-0100-000003000000}"/>
  <tableColumns count="1">
    <tableColumn id="1" xr3:uid="{00000000-0010-0000-0200-000001000000}" name="USO DE CFD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6" displayName="Tabla6" ref="E1:E28" totalsRowShown="0">
  <autoFilter ref="E1:E28" xr:uid="{00000000-0009-0000-0100-000006000000}"/>
  <tableColumns count="1">
    <tableColumn id="1" xr3:uid="{00000000-0010-0000-0500-000001000000}" name="UNIDA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29F2A63-8EDD-43B2-9145-E1BDA1A09829}" name="Tabla18" displayName="Tabla18" ref="A1:A22" totalsRowShown="0">
  <autoFilter ref="A1:A22" xr:uid="{E29F2A63-8EDD-43B2-9145-E1BDA1A09829}"/>
  <tableColumns count="1">
    <tableColumn id="1" xr3:uid="{1DBFEA10-5073-4B83-AF2D-A1EA3BDD0D56}" name="Empres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8981700-568D-47A6-83FC-F3D7C2A9B2EB}" name="_01_EFECTIVO" displayName="_01_EFECTIVO" ref="A1:A2" totalsRowShown="0">
  <autoFilter ref="A1:A2" xr:uid="{28981700-568D-47A6-83FC-F3D7C2A9B2EB}"/>
  <tableColumns count="1">
    <tableColumn id="1" xr3:uid="{D81CA0CE-725C-4CF7-839F-D75F6BAF2989}" name="_01_EFEC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916F1E5-B166-4EC6-B587-3F86B04364F2}" name="_02_CHEQUE" displayName="_02_CHEQUE" ref="B1:B2" totalsRowShown="0">
  <autoFilter ref="B1:B2" xr:uid="{2916F1E5-B166-4EC6-B587-3F86B04364F2}"/>
  <tableColumns count="1">
    <tableColumn id="1" xr3:uid="{07012962-AA35-4C2B-899A-577B70B48927}" name="_02_CHEQ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33A8390-B3C1-4497-94F4-E63AC2F83504}" name="_03_TRANSFERENCIA" displayName="_03_TRANSFERENCIA" ref="C1:C2" totalsRowShown="0">
  <autoFilter ref="C1:C2" xr:uid="{C33A8390-B3C1-4497-94F4-E63AC2F83504}"/>
  <tableColumns count="1">
    <tableColumn id="1" xr3:uid="{661D5603-B0A1-44E4-AB03-29D7EE27804C}" name="_03_TRANSFERENCI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FF3C0C0-62E7-4392-80D1-04C9B34AFAD5}" name="_99_POR_DEFINIR" displayName="_99_POR_DEFINIR" ref="D1:D2" totalsRowShown="0">
  <autoFilter ref="D1:D2" xr:uid="{0FF3C0C0-62E7-4392-80D1-04C9B34AFAD5}"/>
  <tableColumns count="1">
    <tableColumn id="1" xr3:uid="{B49111B1-28FB-47C6-A597-28D4D3469487}" name="_99_POR_DEFINI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4"/>
  <sheetViews>
    <sheetView showGridLines="0" tabSelected="1" zoomScale="85" zoomScaleNormal="85" workbookViewId="0">
      <selection activeCell="N14" sqref="N14"/>
    </sheetView>
  </sheetViews>
  <sheetFormatPr baseColWidth="10" defaultRowHeight="15" x14ac:dyDescent="0.2"/>
  <cols>
    <col min="1" max="1" width="21.5" customWidth="1"/>
    <col min="4" max="4" width="6.1640625" customWidth="1"/>
    <col min="7" max="7" width="26.1640625" customWidth="1"/>
    <col min="8" max="8" width="7.83203125" customWidth="1"/>
    <col min="9" max="9" width="8.83203125" customWidth="1"/>
    <col min="10" max="10" width="13.83203125" customWidth="1"/>
    <col min="11" max="11" width="3.5" customWidth="1"/>
    <col min="12" max="12" width="12.83203125" bestFit="1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">
      <c r="B4" s="54"/>
      <c r="C4" s="54"/>
      <c r="D4" s="54"/>
      <c r="E4" s="54"/>
      <c r="F4" s="1"/>
      <c r="G4" s="60" t="s">
        <v>7</v>
      </c>
      <c r="H4" s="55" t="s">
        <v>8</v>
      </c>
      <c r="I4" s="55"/>
      <c r="J4" s="55"/>
    </row>
    <row r="5" spans="1:10" x14ac:dyDescent="0.2">
      <c r="A5" s="60" t="s">
        <v>9</v>
      </c>
      <c r="B5" s="3" t="s">
        <v>122</v>
      </c>
      <c r="C5" s="1"/>
      <c r="D5" s="1"/>
      <c r="E5" s="1"/>
      <c r="F5" s="1"/>
      <c r="G5" s="1"/>
      <c r="H5" s="1"/>
      <c r="I5" s="1"/>
      <c r="J5" s="1"/>
    </row>
    <row r="6" spans="1:10" x14ac:dyDescent="0.2">
      <c r="A6" s="60" t="s">
        <v>123</v>
      </c>
      <c r="B6" s="3" t="s">
        <v>124</v>
      </c>
      <c r="C6" s="1"/>
      <c r="D6" s="1"/>
      <c r="E6" s="1"/>
      <c r="F6" s="1"/>
      <c r="G6" s="1"/>
      <c r="H6" s="1"/>
      <c r="I6" s="1"/>
      <c r="J6" s="1"/>
    </row>
    <row r="7" spans="1:10" x14ac:dyDescent="0.2">
      <c r="A7" s="60" t="s">
        <v>73</v>
      </c>
      <c r="B7" s="78" t="s">
        <v>110</v>
      </c>
      <c r="C7" s="79"/>
      <c r="D7" s="79"/>
      <c r="E7" s="79"/>
      <c r="F7" s="79"/>
      <c r="G7" s="81"/>
      <c r="H7" s="21" t="s">
        <v>72</v>
      </c>
      <c r="I7" s="21"/>
      <c r="J7" s="22"/>
    </row>
    <row r="8" spans="1:10" ht="15" customHeight="1" x14ac:dyDescent="0.2">
      <c r="A8" s="61" t="s">
        <v>67</v>
      </c>
      <c r="B8" s="40" t="s">
        <v>111</v>
      </c>
      <c r="C8" s="41"/>
      <c r="D8" s="41"/>
      <c r="E8" s="41"/>
      <c r="F8" s="41"/>
      <c r="G8" s="42"/>
      <c r="H8" s="80"/>
      <c r="I8" s="80"/>
      <c r="J8" s="23"/>
    </row>
    <row r="9" spans="1:10" x14ac:dyDescent="0.2">
      <c r="A9" s="62" t="s">
        <v>87</v>
      </c>
      <c r="B9" s="43" t="s">
        <v>109</v>
      </c>
      <c r="C9" s="44"/>
      <c r="D9" s="44"/>
      <c r="E9" s="44"/>
      <c r="F9" s="44"/>
      <c r="G9" s="45"/>
      <c r="H9" s="80"/>
      <c r="I9" s="80"/>
      <c r="J9" s="23"/>
    </row>
    <row r="10" spans="1:10" x14ac:dyDescent="0.2">
      <c r="A10" s="63"/>
      <c r="B10" s="46"/>
      <c r="C10" s="47"/>
      <c r="D10" s="47"/>
      <c r="E10" s="47"/>
      <c r="F10" s="47"/>
      <c r="G10" s="48"/>
      <c r="H10" s="80"/>
      <c r="I10" s="80"/>
      <c r="J10" s="23"/>
    </row>
    <row r="11" spans="1:10" x14ac:dyDescent="0.2">
      <c r="A11" s="64"/>
      <c r="B11" s="49"/>
      <c r="C11" s="50"/>
      <c r="D11" s="50"/>
      <c r="E11" s="50"/>
      <c r="F11" s="50"/>
      <c r="G11" s="51"/>
      <c r="H11" s="80"/>
      <c r="I11" s="80"/>
      <c r="J11" s="23"/>
    </row>
    <row r="12" spans="1:10" x14ac:dyDescent="0.2">
      <c r="A12" s="60" t="s">
        <v>68</v>
      </c>
      <c r="B12" s="18" t="s">
        <v>14</v>
      </c>
      <c r="C12" s="19"/>
      <c r="D12" s="19"/>
      <c r="E12" s="19"/>
      <c r="F12" s="19"/>
      <c r="G12" s="20"/>
      <c r="H12" s="24"/>
      <c r="I12" s="24"/>
      <c r="J12" s="25"/>
    </row>
    <row r="13" spans="1:10" x14ac:dyDescent="0.2">
      <c r="A13" s="58" t="s">
        <v>69</v>
      </c>
      <c r="B13" s="18" t="s">
        <v>39</v>
      </c>
      <c r="C13" s="19"/>
      <c r="D13" s="19"/>
      <c r="E13" s="19"/>
      <c r="F13" s="19"/>
      <c r="G13" s="20"/>
      <c r="H13" s="26" t="s">
        <v>66</v>
      </c>
      <c r="I13" s="27"/>
      <c r="J13" s="28"/>
    </row>
    <row r="14" spans="1:10" x14ac:dyDescent="0.2">
      <c r="A14" s="58" t="s">
        <v>70</v>
      </c>
      <c r="B14" s="18" t="s">
        <v>107</v>
      </c>
      <c r="C14" s="19"/>
      <c r="D14" s="19"/>
      <c r="E14" s="19"/>
      <c r="F14" s="19"/>
      <c r="G14" s="20"/>
      <c r="H14" s="29"/>
      <c r="I14" s="30"/>
      <c r="J14" s="31"/>
    </row>
    <row r="15" spans="1:10" x14ac:dyDescent="0.2">
      <c r="A15" s="58" t="s">
        <v>71</v>
      </c>
      <c r="B15" s="18" t="s">
        <v>102</v>
      </c>
      <c r="C15" s="19"/>
      <c r="D15" s="19"/>
      <c r="E15" s="19"/>
      <c r="F15" s="19"/>
      <c r="G15" s="20"/>
      <c r="H15" s="32"/>
      <c r="I15" s="33"/>
      <c r="J15" s="34"/>
    </row>
    <row r="16" spans="1:10" x14ac:dyDescent="0.2">
      <c r="A16" s="58" t="s">
        <v>114</v>
      </c>
      <c r="B16" s="58" t="s">
        <v>115</v>
      </c>
      <c r="C16" s="56"/>
      <c r="D16" s="56"/>
      <c r="E16" s="56"/>
      <c r="F16" s="56"/>
      <c r="G16" s="56"/>
      <c r="H16" s="57"/>
      <c r="I16" s="57"/>
      <c r="J16" s="57"/>
    </row>
    <row r="17" spans="1:12" x14ac:dyDescent="0.2">
      <c r="A17" s="58" t="s">
        <v>116</v>
      </c>
      <c r="B17" s="59" t="s">
        <v>117</v>
      </c>
      <c r="C17" s="1"/>
      <c r="D17" s="1"/>
      <c r="E17" s="1"/>
      <c r="F17" s="1"/>
      <c r="G17" s="1"/>
      <c r="H17" s="1"/>
      <c r="I17" s="1"/>
      <c r="J17" s="1"/>
    </row>
    <row r="18" spans="1:12" x14ac:dyDescent="0.2">
      <c r="A18" s="58" t="s">
        <v>118</v>
      </c>
      <c r="B18" s="59" t="s">
        <v>117</v>
      </c>
      <c r="C18" s="1"/>
      <c r="D18" s="1"/>
      <c r="E18" s="1"/>
      <c r="F18" s="1"/>
      <c r="G18" s="1"/>
      <c r="H18" s="1"/>
      <c r="I18" s="1"/>
      <c r="J18" s="1"/>
    </row>
    <row r="19" spans="1:12" x14ac:dyDescent="0.2">
      <c r="A19" s="58" t="s">
        <v>119</v>
      </c>
      <c r="B19" s="59" t="s">
        <v>120</v>
      </c>
      <c r="C19" s="1"/>
      <c r="D19" s="1"/>
      <c r="E19" s="1"/>
      <c r="F19" s="1"/>
      <c r="G19" s="1"/>
      <c r="H19" s="1"/>
      <c r="I19" s="1"/>
      <c r="J19" s="1"/>
    </row>
    <row r="20" spans="1:12" x14ac:dyDescent="0.2">
      <c r="A20" s="1"/>
      <c r="B20" s="3"/>
      <c r="C20" s="1"/>
      <c r="D20" s="1"/>
      <c r="E20" s="1"/>
      <c r="F20" s="1"/>
      <c r="G20" s="1"/>
      <c r="H20" s="1"/>
      <c r="I20" s="1"/>
      <c r="J20" s="1"/>
    </row>
    <row r="21" spans="1:12" x14ac:dyDescent="0.2">
      <c r="A21" s="65" t="s">
        <v>0</v>
      </c>
      <c r="B21" s="65" t="s">
        <v>1</v>
      </c>
      <c r="C21" s="66" t="s">
        <v>2</v>
      </c>
      <c r="D21" s="67"/>
      <c r="E21" s="66" t="s">
        <v>3</v>
      </c>
      <c r="F21" s="68"/>
      <c r="G21" s="67"/>
      <c r="H21" s="66" t="s">
        <v>4</v>
      </c>
      <c r="I21" s="67"/>
      <c r="J21" s="65" t="s">
        <v>5</v>
      </c>
    </row>
    <row r="22" spans="1:12" ht="40.75" customHeight="1" x14ac:dyDescent="0.2">
      <c r="A22" s="16">
        <v>84101501</v>
      </c>
      <c r="B22" s="13">
        <v>1</v>
      </c>
      <c r="C22" s="52" t="s">
        <v>112</v>
      </c>
      <c r="D22" s="53"/>
      <c r="E22" s="35" t="s">
        <v>113</v>
      </c>
      <c r="F22" s="36"/>
      <c r="G22" s="37"/>
      <c r="H22" s="38">
        <v>22500</v>
      </c>
      <c r="I22" s="39"/>
      <c r="J22" s="15">
        <f t="shared" ref="J22:J26" si="0">B22*H22</f>
        <v>22500</v>
      </c>
    </row>
    <row r="23" spans="1:12" ht="14.5" customHeight="1" x14ac:dyDescent="0.2">
      <c r="A23" s="12"/>
      <c r="B23" s="13"/>
      <c r="C23" s="52"/>
      <c r="D23" s="53"/>
      <c r="E23" s="35"/>
      <c r="F23" s="36"/>
      <c r="G23" s="37"/>
      <c r="H23" s="38"/>
      <c r="I23" s="39"/>
      <c r="J23" s="15">
        <f t="shared" si="0"/>
        <v>0</v>
      </c>
    </row>
    <row r="24" spans="1:12" ht="14.5" customHeight="1" x14ac:dyDescent="0.2">
      <c r="A24" s="12"/>
      <c r="B24" s="13"/>
      <c r="C24" s="52"/>
      <c r="D24" s="53"/>
      <c r="E24" s="35"/>
      <c r="F24" s="36"/>
      <c r="G24" s="37"/>
      <c r="H24" s="38"/>
      <c r="I24" s="39"/>
      <c r="J24" s="15">
        <f t="shared" si="0"/>
        <v>0</v>
      </c>
    </row>
    <row r="25" spans="1:12" ht="14.5" customHeight="1" x14ac:dyDescent="0.2">
      <c r="A25" s="12"/>
      <c r="B25" s="13"/>
      <c r="C25" s="52"/>
      <c r="D25" s="53"/>
      <c r="E25" s="35"/>
      <c r="F25" s="36"/>
      <c r="G25" s="37"/>
      <c r="H25" s="38"/>
      <c r="I25" s="39"/>
      <c r="J25" s="15">
        <f t="shared" si="0"/>
        <v>0</v>
      </c>
    </row>
    <row r="26" spans="1:12" ht="14.5" customHeight="1" x14ac:dyDescent="0.2">
      <c r="A26" s="12"/>
      <c r="B26" s="13"/>
      <c r="C26" s="52"/>
      <c r="D26" s="53"/>
      <c r="E26" s="35"/>
      <c r="F26" s="36"/>
      <c r="G26" s="37"/>
      <c r="H26" s="38"/>
      <c r="I26" s="39"/>
      <c r="J26" s="15">
        <f t="shared" si="0"/>
        <v>0</v>
      </c>
    </row>
    <row r="27" spans="1:12" x14ac:dyDescent="0.2">
      <c r="A27" s="1"/>
      <c r="B27" s="1"/>
      <c r="C27" s="17"/>
      <c r="D27" s="17"/>
      <c r="E27" s="17"/>
      <c r="F27" s="17"/>
      <c r="G27" s="17"/>
      <c r="H27" s="17"/>
      <c r="I27" s="1"/>
      <c r="J27" s="1"/>
    </row>
    <row r="28" spans="1:12" x14ac:dyDescent="0.2">
      <c r="A28" s="1"/>
      <c r="B28" s="1"/>
      <c r="C28" s="1"/>
      <c r="D28" s="1"/>
      <c r="E28" s="1"/>
      <c r="F28" s="1"/>
      <c r="G28" s="1"/>
      <c r="H28" s="1"/>
      <c r="I28" s="4" t="s">
        <v>6</v>
      </c>
      <c r="J28" s="5">
        <f>SUM(J22:J27)</f>
        <v>22500</v>
      </c>
      <c r="K28" s="10"/>
      <c r="L28" s="11"/>
    </row>
    <row r="29" spans="1:12" x14ac:dyDescent="0.2">
      <c r="A29" s="1"/>
      <c r="B29" s="1"/>
      <c r="C29" s="1"/>
      <c r="D29" s="1"/>
      <c r="E29" s="1"/>
      <c r="F29" s="1"/>
      <c r="G29" s="1"/>
      <c r="H29" s="1"/>
      <c r="I29" s="6" t="s">
        <v>74</v>
      </c>
      <c r="J29" s="7">
        <f>J28*0.16</f>
        <v>3600</v>
      </c>
      <c r="L29" s="14"/>
    </row>
    <row r="30" spans="1:12" x14ac:dyDescent="0.2">
      <c r="F30" s="1"/>
      <c r="G30" s="1"/>
      <c r="H30" s="1"/>
      <c r="I30" s="2" t="s">
        <v>5</v>
      </c>
      <c r="J30" s="8">
        <f>J28+J29</f>
        <v>26100</v>
      </c>
    </row>
    <row r="31" spans="1:12" ht="16" thickBot="1" x14ac:dyDescent="0.25">
      <c r="F31" s="9"/>
      <c r="G31" s="9"/>
      <c r="H31" s="1"/>
      <c r="I31" s="1"/>
      <c r="J31" s="1"/>
    </row>
    <row r="32" spans="1:12" x14ac:dyDescent="0.2">
      <c r="A32" s="61" t="s">
        <v>121</v>
      </c>
      <c r="B32" s="69"/>
      <c r="C32" s="70"/>
      <c r="D32" s="70"/>
      <c r="E32" s="70"/>
      <c r="F32" s="70"/>
      <c r="G32" s="70"/>
      <c r="H32" s="70"/>
      <c r="I32" s="70"/>
      <c r="J32" s="71"/>
    </row>
    <row r="33" spans="2:10" x14ac:dyDescent="0.2">
      <c r="B33" s="72"/>
      <c r="C33" s="73"/>
      <c r="D33" s="73"/>
      <c r="E33" s="73"/>
      <c r="F33" s="73"/>
      <c r="G33" s="73"/>
      <c r="H33" s="73"/>
      <c r="I33" s="73"/>
      <c r="J33" s="74"/>
    </row>
    <row r="34" spans="2:10" ht="16" thickBot="1" x14ac:dyDescent="0.25">
      <c r="B34" s="75"/>
      <c r="C34" s="76"/>
      <c r="D34" s="76"/>
      <c r="E34" s="76"/>
      <c r="F34" s="76"/>
      <c r="G34" s="76"/>
      <c r="H34" s="76"/>
      <c r="I34" s="76"/>
      <c r="J34" s="77"/>
    </row>
  </sheetData>
  <mergeCells count="32">
    <mergeCell ref="B32:J34"/>
    <mergeCell ref="B7:G7"/>
    <mergeCell ref="H7:J12"/>
    <mergeCell ref="H26:I26"/>
    <mergeCell ref="C24:D24"/>
    <mergeCell ref="C25:D25"/>
    <mergeCell ref="C26:D26"/>
    <mergeCell ref="B4:E4"/>
    <mergeCell ref="H4:J4"/>
    <mergeCell ref="C23:D23"/>
    <mergeCell ref="E23:G23"/>
    <mergeCell ref="H23:I23"/>
    <mergeCell ref="A9:A11"/>
    <mergeCell ref="B8:G8"/>
    <mergeCell ref="B9:G11"/>
    <mergeCell ref="C22:D22"/>
    <mergeCell ref="H22:I22"/>
    <mergeCell ref="E22:G22"/>
    <mergeCell ref="C27:H27"/>
    <mergeCell ref="C21:D21"/>
    <mergeCell ref="H21:I21"/>
    <mergeCell ref="B13:G13"/>
    <mergeCell ref="B14:G14"/>
    <mergeCell ref="B15:G15"/>
    <mergeCell ref="E21:G21"/>
    <mergeCell ref="B12:G12"/>
    <mergeCell ref="H13:J15"/>
    <mergeCell ref="E24:G24"/>
    <mergeCell ref="E25:G25"/>
    <mergeCell ref="E26:G26"/>
    <mergeCell ref="H24:I24"/>
    <mergeCell ref="H25:I25"/>
  </mergeCells>
  <dataValidations count="1">
    <dataValidation type="list" allowBlank="1" showInputMessage="1" showErrorMessage="1" errorTitle="Entrada no Valida" error="Seleccione un metodo de pago de la lista" promptTitle="METODO DE PAGO" prompt="Seleccione un metodo de pago de la lista" sqref="C15:G16 B15" xr:uid="{00000000-0002-0000-0000-000004000000}">
      <formula1>INDIRECT(++$B$14)</formula1>
    </dataValidation>
  </dataValidations>
  <pageMargins left="0.70866141732283505" right="0.70866141732283505" top="0.74803149606299202" bottom="0.74803149606299202" header="0.31496062992126" footer="0.31496062992126"/>
  <pageSetup scale="8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errorTitle="Entrada no Valida" error="Seleccione un uso de cfdi de la lista" promptTitle="USO DE CFDI" prompt="Seleccione un uso de CFDI de la lista" xr:uid="{00000000-0002-0000-0000-000002000000}">
          <x14:formula1>
            <xm:f>LISTAS!$C$2:$C$11</xm:f>
          </x14:formula1>
          <xm:sqref>B13:G13</xm:sqref>
        </x14:dataValidation>
        <x14:dataValidation type="list" allowBlank="1" showInputMessage="1" showErrorMessage="1" errorTitle="Entrada no valida" error="Seleccione un regimen de la lista" promptTitle="Regimen Fiscal" prompt="Seleccione un Regimen de la lista" xr:uid="{00000000-0002-0000-0000-000001000000}">
          <x14:formula1>
            <xm:f>LISTAS!$G$2:$G$24</xm:f>
          </x14:formula1>
          <xm:sqref>B12:G12</xm:sqref>
        </x14:dataValidation>
        <x14:dataValidation type="list" allowBlank="1" showInputMessage="1" showErrorMessage="1" errorTitle="Entrada no Valida" error="Seleccione una forma de pago de la lista" promptTitle="FORMA DE PAGO" prompt="Seleccione una forma de pago de la lista" xr:uid="{00000000-0002-0000-0000-000003000000}">
          <x14:formula1>
            <xm:f>PAGO!$A$1:$D$1</xm:f>
          </x14:formula1>
          <xm:sqref>B14:G14</xm:sqref>
        </x14:dataValidation>
        <x14:dataValidation type="list" allowBlank="1" showInputMessage="1" showErrorMessage="1" xr:uid="{DCA1372E-F08C-403F-86D3-0B77C7727BEA}">
          <x14:formula1>
            <xm:f>LISTAS!#REF!</xm:f>
          </x14:formula1>
          <xm:sqref>M11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8"/>
  <sheetViews>
    <sheetView workbookViewId="0">
      <selection activeCell="C1" sqref="C1"/>
    </sheetView>
  </sheetViews>
  <sheetFormatPr baseColWidth="10" defaultRowHeight="15" x14ac:dyDescent="0.2"/>
  <cols>
    <col min="1" max="1" width="39.5" customWidth="1"/>
    <col min="3" max="3" width="56.1640625" bestFit="1" customWidth="1"/>
    <col min="5" max="5" width="33.83203125" bestFit="1" customWidth="1"/>
    <col min="7" max="7" width="87.83203125" bestFit="1" customWidth="1"/>
  </cols>
  <sheetData>
    <row r="1" spans="1:7" x14ac:dyDescent="0.2">
      <c r="A1" t="s">
        <v>13</v>
      </c>
      <c r="C1" t="s">
        <v>48</v>
      </c>
      <c r="E1" t="s">
        <v>2</v>
      </c>
      <c r="G1" t="s">
        <v>37</v>
      </c>
    </row>
    <row r="2" spans="1:7" x14ac:dyDescent="0.2">
      <c r="A2" t="s">
        <v>12</v>
      </c>
      <c r="C2" t="s">
        <v>38</v>
      </c>
      <c r="E2" t="s">
        <v>49</v>
      </c>
      <c r="G2" t="s">
        <v>14</v>
      </c>
    </row>
    <row r="3" spans="1:7" x14ac:dyDescent="0.2">
      <c r="A3" t="s">
        <v>75</v>
      </c>
      <c r="C3" t="s">
        <v>39</v>
      </c>
      <c r="E3" t="s">
        <v>50</v>
      </c>
      <c r="G3" t="s">
        <v>15</v>
      </c>
    </row>
    <row r="4" spans="1:7" x14ac:dyDescent="0.2">
      <c r="C4" t="s">
        <v>40</v>
      </c>
      <c r="E4" t="s">
        <v>58</v>
      </c>
      <c r="G4" t="s">
        <v>16</v>
      </c>
    </row>
    <row r="5" spans="1:7" x14ac:dyDescent="0.2">
      <c r="A5" t="s">
        <v>10</v>
      </c>
      <c r="C5" t="s">
        <v>41</v>
      </c>
      <c r="E5" t="s">
        <v>51</v>
      </c>
      <c r="G5" t="s">
        <v>18</v>
      </c>
    </row>
    <row r="6" spans="1:7" x14ac:dyDescent="0.2">
      <c r="A6" t="s">
        <v>78</v>
      </c>
      <c r="C6" t="s">
        <v>42</v>
      </c>
      <c r="E6" t="s">
        <v>52</v>
      </c>
      <c r="G6" t="s">
        <v>17</v>
      </c>
    </row>
    <row r="7" spans="1:7" x14ac:dyDescent="0.2">
      <c r="A7" t="s">
        <v>11</v>
      </c>
      <c r="C7" t="s">
        <v>43</v>
      </c>
      <c r="E7" t="s">
        <v>53</v>
      </c>
      <c r="G7" t="s">
        <v>19</v>
      </c>
    </row>
    <row r="8" spans="1:7" x14ac:dyDescent="0.2">
      <c r="A8" t="s">
        <v>91</v>
      </c>
      <c r="C8" t="s">
        <v>44</v>
      </c>
      <c r="E8" t="s">
        <v>54</v>
      </c>
      <c r="G8" t="s">
        <v>20</v>
      </c>
    </row>
    <row r="9" spans="1:7" x14ac:dyDescent="0.2">
      <c r="A9" t="s">
        <v>77</v>
      </c>
      <c r="C9" t="s">
        <v>45</v>
      </c>
      <c r="E9" t="s">
        <v>55</v>
      </c>
      <c r="G9" t="s">
        <v>21</v>
      </c>
    </row>
    <row r="10" spans="1:7" x14ac:dyDescent="0.2">
      <c r="A10" t="s">
        <v>85</v>
      </c>
      <c r="C10" t="s">
        <v>46</v>
      </c>
      <c r="E10" t="s">
        <v>56</v>
      </c>
      <c r="G10" t="s">
        <v>22</v>
      </c>
    </row>
    <row r="11" spans="1:7" x14ac:dyDescent="0.2">
      <c r="A11" t="s">
        <v>86</v>
      </c>
      <c r="C11" t="s">
        <v>47</v>
      </c>
      <c r="E11" t="s">
        <v>57</v>
      </c>
      <c r="G11" t="s">
        <v>23</v>
      </c>
    </row>
    <row r="12" spans="1:7" x14ac:dyDescent="0.2">
      <c r="A12" t="s">
        <v>88</v>
      </c>
      <c r="E12" t="s">
        <v>59</v>
      </c>
      <c r="G12" t="s">
        <v>24</v>
      </c>
    </row>
    <row r="13" spans="1:7" x14ac:dyDescent="0.2">
      <c r="A13" t="s">
        <v>89</v>
      </c>
      <c r="E13" t="s">
        <v>60</v>
      </c>
      <c r="G13" t="s">
        <v>25</v>
      </c>
    </row>
    <row r="14" spans="1:7" x14ac:dyDescent="0.2">
      <c r="A14" t="s">
        <v>90</v>
      </c>
      <c r="E14" t="s">
        <v>61</v>
      </c>
      <c r="G14" t="s">
        <v>26</v>
      </c>
    </row>
    <row r="15" spans="1:7" x14ac:dyDescent="0.2">
      <c r="A15" t="s">
        <v>95</v>
      </c>
      <c r="E15" t="s">
        <v>62</v>
      </c>
      <c r="G15" t="s">
        <v>27</v>
      </c>
    </row>
    <row r="16" spans="1:7" x14ac:dyDescent="0.2">
      <c r="A16" t="s">
        <v>96</v>
      </c>
      <c r="E16" t="s">
        <v>63</v>
      </c>
      <c r="G16" t="s">
        <v>28</v>
      </c>
    </row>
    <row r="17" spans="1:7" x14ac:dyDescent="0.2">
      <c r="A17" t="s">
        <v>97</v>
      </c>
      <c r="E17" t="s">
        <v>64</v>
      </c>
      <c r="G17" t="s">
        <v>29</v>
      </c>
    </row>
    <row r="18" spans="1:7" x14ac:dyDescent="0.2">
      <c r="A18" t="s">
        <v>98</v>
      </c>
      <c r="E18" t="s">
        <v>65</v>
      </c>
      <c r="G18" t="s">
        <v>30</v>
      </c>
    </row>
    <row r="19" spans="1:7" x14ac:dyDescent="0.2">
      <c r="A19" t="s">
        <v>99</v>
      </c>
      <c r="E19" t="s">
        <v>81</v>
      </c>
      <c r="G19" t="s">
        <v>31</v>
      </c>
    </row>
    <row r="20" spans="1:7" x14ac:dyDescent="0.2">
      <c r="A20" t="s">
        <v>100</v>
      </c>
      <c r="E20" t="s">
        <v>76</v>
      </c>
      <c r="G20" t="s">
        <v>32</v>
      </c>
    </row>
    <row r="21" spans="1:7" x14ac:dyDescent="0.2">
      <c r="A21" t="s">
        <v>101</v>
      </c>
      <c r="E21" t="s">
        <v>79</v>
      </c>
      <c r="G21" t="s">
        <v>33</v>
      </c>
    </row>
    <row r="22" spans="1:7" x14ac:dyDescent="0.2">
      <c r="A22" t="s">
        <v>108</v>
      </c>
      <c r="E22" t="s">
        <v>80</v>
      </c>
      <c r="G22" t="s">
        <v>34</v>
      </c>
    </row>
    <row r="23" spans="1:7" x14ac:dyDescent="0.2">
      <c r="E23" t="s">
        <v>82</v>
      </c>
      <c r="G23" t="s">
        <v>35</v>
      </c>
    </row>
    <row r="24" spans="1:7" x14ac:dyDescent="0.2">
      <c r="E24" t="s">
        <v>83</v>
      </c>
      <c r="G24" t="s">
        <v>36</v>
      </c>
    </row>
    <row r="25" spans="1:7" x14ac:dyDescent="0.2">
      <c r="E25" t="s">
        <v>84</v>
      </c>
    </row>
    <row r="26" spans="1:7" x14ac:dyDescent="0.2">
      <c r="E26" t="s">
        <v>92</v>
      </c>
    </row>
    <row r="27" spans="1:7" x14ac:dyDescent="0.2">
      <c r="E27" t="s">
        <v>93</v>
      </c>
    </row>
    <row r="28" spans="1:7" x14ac:dyDescent="0.2">
      <c r="E28" t="s">
        <v>94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63560-B92C-4115-87ED-D53B987A5514}">
  <dimension ref="A1:D2"/>
  <sheetViews>
    <sheetView workbookViewId="0">
      <selection activeCell="D1" sqref="D1:D2"/>
    </sheetView>
  </sheetViews>
  <sheetFormatPr baseColWidth="10" defaultRowHeight="15" x14ac:dyDescent="0.2"/>
  <cols>
    <col min="1" max="1" width="15.5" customWidth="1"/>
    <col min="2" max="2" width="14.5" customWidth="1"/>
    <col min="3" max="3" width="21.5" customWidth="1"/>
    <col min="4" max="4" width="18.83203125" customWidth="1"/>
  </cols>
  <sheetData>
    <row r="1" spans="1:4" x14ac:dyDescent="0.2">
      <c r="A1" t="s">
        <v>104</v>
      </c>
      <c r="B1" t="s">
        <v>105</v>
      </c>
      <c r="C1" t="s">
        <v>107</v>
      </c>
      <c r="D1" t="s">
        <v>106</v>
      </c>
    </row>
    <row r="2" spans="1:4" x14ac:dyDescent="0.2">
      <c r="A2" t="s">
        <v>102</v>
      </c>
      <c r="B2" t="s">
        <v>102</v>
      </c>
      <c r="C2" t="s">
        <v>102</v>
      </c>
      <c r="D2" t="s">
        <v>103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4</vt:i4>
      </vt:variant>
    </vt:vector>
  </HeadingPairs>
  <TitlesOfParts>
    <vt:vector size="7" baseType="lpstr">
      <vt:lpstr>PROFORMA MVC CESAMA FINANCIERA</vt:lpstr>
      <vt:lpstr>LISTAS</vt:lpstr>
      <vt:lpstr>PAGO</vt:lpstr>
      <vt:lpstr>EMPRESAS</vt:lpstr>
      <vt:lpstr>REGIMEN_FISCAL</vt:lpstr>
      <vt:lpstr>UNIDAD</vt:lpstr>
      <vt:lpstr>USO_CFDI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Equipo_2</dc:creator>
  <cp:lastModifiedBy>Microsoft Office User</cp:lastModifiedBy>
  <cp:lastPrinted>2024-06-06T23:59:04Z</cp:lastPrinted>
  <dcterms:created xsi:type="dcterms:W3CDTF">2017-12-04T17:48:14Z</dcterms:created>
  <dcterms:modified xsi:type="dcterms:W3CDTF">2026-03-03T17:41:02Z</dcterms:modified>
</cp:coreProperties>
</file>