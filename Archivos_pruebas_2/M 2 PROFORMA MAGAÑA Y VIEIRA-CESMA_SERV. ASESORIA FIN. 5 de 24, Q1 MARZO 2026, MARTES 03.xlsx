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autoCompressPictures="0"/>
  <mc:AlternateContent xmlns:mc="http://schemas.openxmlformats.org/markup-compatibility/2006">
    <mc:Choice Requires="x15">
      <x15ac:absPath xmlns:x15ac="http://schemas.microsoft.com/office/spreadsheetml/2010/11/ac" url="C:\Proyectos\Memoria\B2B_Materialidad\Archivos_pruebas_2\"/>
    </mc:Choice>
  </mc:AlternateContent>
  <xr:revisionPtr revIDLastSave="0" documentId="13_ncr:1_{C83E6029-4F22-436C-99D4-060119662F18}" xr6:coauthVersionLast="47" xr6:coauthVersionMax="47" xr10:uidLastSave="{00000000-0000-0000-0000-000000000000}"/>
  <bookViews>
    <workbookView xWindow="366" yWindow="366" windowWidth="21390" windowHeight="11940" xr2:uid="{00000000-000D-0000-FFFF-FFFF00000000}"/>
  </bookViews>
  <sheets>
    <sheet name="PROFORMA MVC CESAMA FINANCIERA" sheetId="4" r:id="rId1"/>
    <sheet name="LISTAS" sheetId="5" state="hidden" r:id="rId2"/>
    <sheet name="PAGO" sheetId="9" state="hidden" r:id="rId3"/>
  </sheets>
  <definedNames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4" i="4" l="1"/>
  <c r="J25" i="4"/>
  <c r="J26" i="4"/>
  <c r="J23" i="4"/>
  <c r="J22" i="4" l="1"/>
  <c r="J28" i="4" l="1"/>
  <c r="J29" i="4" s="1"/>
  <c r="J30" i="4" l="1"/>
</calcChain>
</file>

<file path=xl/sharedStrings.xml><?xml version="1.0" encoding="utf-8"?>
<sst xmlns="http://schemas.openxmlformats.org/spreadsheetml/2006/main" count="134" uniqueCount="125">
  <si>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</si>
  <si>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</si>
  <si>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</si>
  <si>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</si>
  <si>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</si>
  <si>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</si>
  <si>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</si>
  <si>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</si>
  <si>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</si>
  <si>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</si>
  <si>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</si>
  <si>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</si>
  <si>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</si>
  <si>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</si>
  <si>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</si>
  <si>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</si>
  <si>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</si>
  <si>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</si>
  <si>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</si>
  <si>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</si>
  <si>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</si>
  <si>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</si>
  <si>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</si>
  <si>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</si>
  <si>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</si>
  <si>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</si>
  <si>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</si>
  <si>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</si>
  <si>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</si>
  <si>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</si>
  <si>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</si>
  <si>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</si>
  <si>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</si>
  <si>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</si>
  <si>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</si>
  <si>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</si>
  <si>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</si>
  <si>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</si>
  <si>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</si>
  <si>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</si>
  <si>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</si>
  <si>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</si>
  <si>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</si>
  <si>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</si>
  <si>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</si>
  <si>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</si>
  <si>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</si>
  <si>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</si>
  <si>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</si>
  <si>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</si>
  <si>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</si>
  <si>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</si>
  <si>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</si>
  <si>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</si>
  <si>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</si>
  <si>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</si>
  <si>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</si>
  <si>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</si>
  <si>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</si>
  <si>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</si>
  <si>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</si>
  <si>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</si>
  <si>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</si>
  <si>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</si>
  <si>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</si>
  <si>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</si>
  <si>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</si>
  <si>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</si>
  <si>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</si>
  <si>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</si>
  <si>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</si>
  <si>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</si>
  <si>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</si>
  <si>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</si>
  <si>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</si>
  <si>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</si>
  <si>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</si>
  <si>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</si>
  <si>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</si>
  <si>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</si>
  <si>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</si>
  <si>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</si>
  <si>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</si>
  <si>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</si>
  <si>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</si>
  <si>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</si>
  <si>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</si>
  <si>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</si>
  <si>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</si>
  <si>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</si>
  <si>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</si>
  <si>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</si>
  <si>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</si>
  <si>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</si>
  <si>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</si>
  <si>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</si>
  <si>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</si>
  <si>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</si>
  <si>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</si>
  <si>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</si>
  <si>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</si>
  <si>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</si>
  <si>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</si>
  <si>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</si>
  <si>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</si>
  <si>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</si>
  <si>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</si>
  <si>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</si>
  <si>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</si>
  <si>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Av. 20 de Noviembre  # 211 Int. 309, Centro, Cuautitlan, 54800, Estado de México, Tel . 5558759701</t>
  </si>
  <si>
    <t>CESMA SEGURIDAD PRIVADA, S. DE R.L. DE C.V.</t>
  </si>
  <si>
    <t>CSP230721JC3</t>
  </si>
  <si>
    <t>E-48, SERVICIO</t>
  </si>
  <si>
    <t>CARGO QUINCENAL 5 DE 24 POR SERVICIOS DE ASESORIA FINANCIERA, SEGUN CONTRATO</t>
  </si>
  <si>
    <t>PREFACTURA o TIMBRADO</t>
  </si>
  <si>
    <t>PREFACTURA</t>
  </si>
  <si>
    <t xml:space="preserve">REQUIERE COTIZACION (S/N) </t>
  </si>
  <si>
    <t>REQUIRE CONTRATO (S/N)</t>
  </si>
  <si>
    <t xml:space="preserve">SE TIENE ANTICIPO (S/N) </t>
  </si>
  <si>
    <t>N</t>
  </si>
  <si>
    <t>NOTA  de FACTURA:</t>
  </si>
  <si>
    <t>MAGAÑA, VIEYRA, CUEVA Y ASOCIADOS</t>
  </si>
  <si>
    <t>RFC Quien EMITE</t>
  </si>
  <si>
    <t>MVC151216BZ0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</si>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</sst>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-80A]d&quot; de &quot;mmmm&quot; de &quot;yyyy;@"/>
    <numFmt numFmtId="165" formatCode="_-&quot;$&quot;* #,##0.0000_-;\-&quot;$&quot;* #,##0.000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44" fontId="6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0" fontId="0" fillId="2" borderId="0" xfId="0" applyFill="1" applyAlignment="1">
      <alignment vertical="top"/>
    </xf>
    <xf numFmtId="44" fontId="0" fillId="0" borderId="0" xfId="2" applyFont="1"/>
    <xf numFmtId="4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5" fontId="0" fillId="0" borderId="0" xfId="0" applyNumberFormat="1"/>
    <xf numFmtId="4" fontId="0" fillId="2" borderId="1" xfId="0" applyNumberForma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/>
    <xf numFmtId="0" fontId="1" fillId="3" borderId="2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4" fontId="0" fillId="2" borderId="2" xfId="2" applyFont="1" applyFill="1" applyBorder="1" applyAlignment="1">
      <alignment horizontal="center" vertical="center" wrapText="1"/>
    </xf>
    <xf numFmtId="44" fontId="0" fillId="2" borderId="4" xfId="2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Normal 2" xfId="1" xr:uid="{B5153C4D-2755-4C3A-8BBB-50759A213F24}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702236</xdr:colOff>
      <xdr:row>3</xdr:row>
      <xdr:rowOff>119530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75AA1D-EFAC-4F49-BA32-3470D7693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2236" cy="70223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4"/>
  <sheetViews>
    <sheetView showGridLines="0" tabSelected="1" topLeftCell="A13" zoomScale="85" zoomScaleNormal="85" workbookViewId="0">
      <selection activeCell="G17" sqref="G17"/>
    </sheetView>
  </sheetViews>
  <sheetFormatPr baseColWidth="10" defaultRowHeight="14.4" x14ac:dyDescent="0.55000000000000004"/>
  <cols>
    <col min="1" max="1" width="21.47265625" customWidth="1"/>
    <col min="4" max="4" width="6.15625" customWidth="1"/>
    <col min="7" max="7" width="26.15625" customWidth="1"/>
    <col min="8" max="8" width="7.83984375" customWidth="1"/>
    <col min="9" max="9" width="8.83984375" customWidth="1"/>
    <col min="10" max="10" width="13.83984375" customWidth="1"/>
    <col min="11" max="11" width="3.47265625" customWidth="1"/>
    <col min="12" max="12" width="12.83984375" bestFit="1" customWidth="1"/>
  </cols>
  <sheetData>
    <row r="1" spans="1:10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55000000000000004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55000000000000004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55000000000000004">
      <c r="B4" s="46"/>
      <c r="C4" s="46"/>
      <c r="D4" s="46"/>
      <c r="E4" s="46"/>
      <c r="F4" s="1"/>
      <c r="G4" s="21" t="s">
        <v>7</v>
      </c>
      <c r="H4" s="47" t="s">
        <v>8</v>
      </c>
      <c r="I4" s="47"/>
      <c r="J4" s="47"/>
    </row>
    <row r="5" spans="1:10" x14ac:dyDescent="0.55000000000000004">
      <c r="A5" s="21" t="s">
        <v>9</v>
      </c>
      <c r="B5" s="3" t="s">
        <v>121</v>
      </c>
      <c r="C5" s="1"/>
      <c r="D5" s="1"/>
      <c r="E5" s="1"/>
      <c r="F5" s="1"/>
      <c r="G5" s="1"/>
      <c r="H5" s="1"/>
      <c r="I5" s="1"/>
      <c r="J5" s="1"/>
    </row>
    <row r="6" spans="1:10" x14ac:dyDescent="0.55000000000000004">
      <c r="A6" s="21" t="s">
        <v>122</v>
      </c>
      <c r="B6" s="3" t="s">
        <v>123</v>
      </c>
      <c r="C6" s="1"/>
      <c r="D6" s="1"/>
      <c r="E6" s="1"/>
      <c r="F6" s="1"/>
      <c r="G6" s="1"/>
      <c r="H6" s="1"/>
      <c r="I6" s="1"/>
      <c r="J6" s="1"/>
    </row>
    <row r="7" spans="1:10" x14ac:dyDescent="0.55000000000000004">
      <c r="A7" s="21" t="s">
        <v>73</v>
      </c>
      <c r="B7" s="33" t="s">
        <v>110</v>
      </c>
      <c r="C7" s="34"/>
      <c r="D7" s="34"/>
      <c r="E7" s="34"/>
      <c r="F7" s="34"/>
      <c r="G7" s="35"/>
      <c r="H7" s="36" t="s">
        <v>72</v>
      </c>
      <c r="I7" s="36"/>
      <c r="J7" s="37"/>
    </row>
    <row r="8" spans="1:10" ht="15" customHeight="1" x14ac:dyDescent="0.55000000000000004">
      <c r="A8" s="22" t="s">
        <v>67</v>
      </c>
      <c r="B8" s="54" t="s">
        <v>111</v>
      </c>
      <c r="C8" s="55"/>
      <c r="D8" s="55"/>
      <c r="E8" s="55"/>
      <c r="F8" s="55"/>
      <c r="G8" s="56"/>
      <c r="H8" s="38"/>
      <c r="I8" s="38"/>
      <c r="J8" s="39"/>
    </row>
    <row r="9" spans="1:10" x14ac:dyDescent="0.55000000000000004">
      <c r="A9" s="51" t="s">
        <v>87</v>
      </c>
      <c r="B9" s="57" t="s">
        <v>109</v>
      </c>
      <c r="C9" s="58"/>
      <c r="D9" s="58"/>
      <c r="E9" s="58"/>
      <c r="F9" s="58"/>
      <c r="G9" s="59"/>
      <c r="H9" s="38"/>
      <c r="I9" s="38"/>
      <c r="J9" s="39"/>
    </row>
    <row r="10" spans="1:10" x14ac:dyDescent="0.55000000000000004">
      <c r="A10" s="52"/>
      <c r="B10" s="60"/>
      <c r="C10" s="61"/>
      <c r="D10" s="61"/>
      <c r="E10" s="61"/>
      <c r="F10" s="61"/>
      <c r="G10" s="62"/>
      <c r="H10" s="38"/>
      <c r="I10" s="38"/>
      <c r="J10" s="39"/>
    </row>
    <row r="11" spans="1:10" x14ac:dyDescent="0.55000000000000004">
      <c r="A11" s="53"/>
      <c r="B11" s="63"/>
      <c r="C11" s="64"/>
      <c r="D11" s="64"/>
      <c r="E11" s="64"/>
      <c r="F11" s="64"/>
      <c r="G11" s="65"/>
      <c r="H11" s="38"/>
      <c r="I11" s="38"/>
      <c r="J11" s="39"/>
    </row>
    <row r="12" spans="1:10" x14ac:dyDescent="0.55000000000000004">
      <c r="A12" s="21" t="s">
        <v>68</v>
      </c>
      <c r="B12" s="69" t="s">
        <v>14</v>
      </c>
      <c r="C12" s="70"/>
      <c r="D12" s="70"/>
      <c r="E12" s="70"/>
      <c r="F12" s="70"/>
      <c r="G12" s="71"/>
      <c r="H12" s="40"/>
      <c r="I12" s="40"/>
      <c r="J12" s="41"/>
    </row>
    <row r="13" spans="1:10" x14ac:dyDescent="0.55000000000000004">
      <c r="A13" s="19" t="s">
        <v>69</v>
      </c>
      <c r="B13" s="69" t="s">
        <v>39</v>
      </c>
      <c r="C13" s="70"/>
      <c r="D13" s="70"/>
      <c r="E13" s="70"/>
      <c r="F13" s="70"/>
      <c r="G13" s="71"/>
      <c r="H13" s="73" t="s">
        <v>66</v>
      </c>
      <c r="I13" s="74"/>
      <c r="J13" s="75"/>
    </row>
    <row r="14" spans="1:10" x14ac:dyDescent="0.55000000000000004">
      <c r="A14" s="19" t="s">
        <v>70</v>
      </c>
      <c r="B14" s="69" t="s">
        <v>107</v>
      </c>
      <c r="C14" s="70"/>
      <c r="D14" s="70"/>
      <c r="E14" s="70"/>
      <c r="F14" s="70"/>
      <c r="G14" s="71"/>
      <c r="H14" s="76"/>
      <c r="I14" s="77"/>
      <c r="J14" s="78"/>
    </row>
    <row r="15" spans="1:10" x14ac:dyDescent="0.55000000000000004">
      <c r="A15" s="19" t="s">
        <v>71</v>
      </c>
      <c r="B15" s="69" t="s">
        <v>102</v>
      </c>
      <c r="C15" s="70"/>
      <c r="D15" s="70"/>
      <c r="E15" s="70"/>
      <c r="F15" s="70"/>
      <c r="G15" s="71"/>
      <c r="H15" s="79"/>
      <c r="I15" s="80"/>
      <c r="J15" s="81"/>
    </row>
    <row r="16" spans="1:10" x14ac:dyDescent="0.55000000000000004">
      <c r="A16" s="19" t="s">
        <v>114</v>
      </c>
      <c r="B16" s="19" t="s">
        <v>115</v>
      </c>
      <c r="C16" s="18"/>
      <c r="D16" s="18"/>
      <c r="E16" s="18"/>
      <c r="F16" s="18"/>
      <c r="G16" s="18"/>
      <c r="H16" s="17"/>
      <c r="I16" s="17"/>
      <c r="J16" s="17"/>
    </row>
    <row r="17" spans="1:12" x14ac:dyDescent="0.55000000000000004">
      <c r="A17" s="19" t="s">
        <v>116</v>
      </c>
      <c r="B17" s="20" t="s">
        <v>124</v>
      </c>
      <c r="C17" s="1"/>
      <c r="D17" s="1"/>
      <c r="E17" s="1"/>
      <c r="F17" s="1"/>
      <c r="G17" s="1"/>
      <c r="H17" s="1"/>
      <c r="I17" s="1"/>
      <c r="J17" s="1"/>
    </row>
    <row r="18" spans="1:12" x14ac:dyDescent="0.55000000000000004">
      <c r="A18" s="19" t="s">
        <v>117</v>
      </c>
      <c r="B18" s="20" t="s">
        <v>119</v>
      </c>
      <c r="C18" s="1"/>
      <c r="D18" s="1"/>
      <c r="E18" s="1"/>
      <c r="F18" s="1"/>
      <c r="G18" s="1"/>
      <c r="H18" s="1"/>
      <c r="I18" s="1"/>
      <c r="J18" s="1"/>
    </row>
    <row r="19" spans="1:12" x14ac:dyDescent="0.55000000000000004">
      <c r="A19" s="19" t="s">
        <v>118</v>
      </c>
      <c r="B19" s="20" t="s">
        <v>124</v>
      </c>
      <c r="C19" s="1"/>
      <c r="D19" s="1"/>
      <c r="E19" s="1"/>
      <c r="F19" s="1"/>
      <c r="G19" s="1"/>
      <c r="H19" s="1"/>
      <c r="I19" s="1"/>
      <c r="J19" s="1"/>
    </row>
    <row r="20" spans="1:12" x14ac:dyDescent="0.55000000000000004">
      <c r="A20" s="1"/>
      <c r="B20" s="3"/>
      <c r="C20" s="1"/>
      <c r="D20" s="1"/>
      <c r="E20" s="1"/>
      <c r="F20" s="1"/>
      <c r="G20" s="1"/>
      <c r="H20" s="1"/>
      <c r="I20" s="1"/>
      <c r="J20" s="1"/>
    </row>
    <row r="21" spans="1:12" x14ac:dyDescent="0.55000000000000004">
      <c r="A21" s="23" t="s">
        <v>0</v>
      </c>
      <c r="B21" s="23" t="s">
        <v>1</v>
      </c>
      <c r="C21" s="67" t="s">
        <v>2</v>
      </c>
      <c r="D21" s="68"/>
      <c r="E21" s="67" t="s">
        <v>3</v>
      </c>
      <c r="F21" s="72"/>
      <c r="G21" s="68"/>
      <c r="H21" s="67" t="s">
        <v>4</v>
      </c>
      <c r="I21" s="68"/>
      <c r="J21" s="23" t="s">
        <v>5</v>
      </c>
    </row>
    <row r="22" spans="1:12" ht="40.75" customHeight="1" x14ac:dyDescent="0.55000000000000004">
      <c r="A22" s="16">
        <v>84101501</v>
      </c>
      <c r="B22" s="13">
        <v>1</v>
      </c>
      <c r="C22" s="44" t="s">
        <v>112</v>
      </c>
      <c r="D22" s="45"/>
      <c r="E22" s="48" t="s">
        <v>113</v>
      </c>
      <c r="F22" s="49"/>
      <c r="G22" s="50"/>
      <c r="H22" s="42">
        <v>22500</v>
      </c>
      <c r="I22" s="43"/>
      <c r="J22" s="15">
        <f t="shared" ref="J22:J26" si="0">B22*H22</f>
        <v>22500</v>
      </c>
    </row>
    <row r="23" spans="1:12" ht="14.5" customHeight="1" x14ac:dyDescent="0.55000000000000004">
      <c r="A23" s="12"/>
      <c r="B23" s="13"/>
      <c r="C23" s="44"/>
      <c r="D23" s="45"/>
      <c r="E23" s="48"/>
      <c r="F23" s="49"/>
      <c r="G23" s="50"/>
      <c r="H23" s="42"/>
      <c r="I23" s="43"/>
      <c r="J23" s="15">
        <f t="shared" si="0"/>
        <v>0</v>
      </c>
    </row>
    <row r="24" spans="1:12" ht="14.5" customHeight="1" x14ac:dyDescent="0.55000000000000004">
      <c r="A24" s="12"/>
      <c r="B24" s="13"/>
      <c r="C24" s="44"/>
      <c r="D24" s="45"/>
      <c r="E24" s="48"/>
      <c r="F24" s="49"/>
      <c r="G24" s="50"/>
      <c r="H24" s="42"/>
      <c r="I24" s="43"/>
      <c r="J24" s="15">
        <f t="shared" si="0"/>
        <v>0</v>
      </c>
    </row>
    <row r="25" spans="1:12" ht="14.5" customHeight="1" x14ac:dyDescent="0.55000000000000004">
      <c r="A25" s="12"/>
      <c r="B25" s="13"/>
      <c r="C25" s="44"/>
      <c r="D25" s="45"/>
      <c r="E25" s="48"/>
      <c r="F25" s="49"/>
      <c r="G25" s="50"/>
      <c r="H25" s="42"/>
      <c r="I25" s="43"/>
      <c r="J25" s="15">
        <f t="shared" si="0"/>
        <v>0</v>
      </c>
    </row>
    <row r="26" spans="1:12" ht="14.5" customHeight="1" x14ac:dyDescent="0.55000000000000004">
      <c r="A26" s="12"/>
      <c r="B26" s="13"/>
      <c r="C26" s="44"/>
      <c r="D26" s="45"/>
      <c r="E26" s="48"/>
      <c r="F26" s="49"/>
      <c r="G26" s="50"/>
      <c r="H26" s="42"/>
      <c r="I26" s="43"/>
      <c r="J26" s="15">
        <f t="shared" si="0"/>
        <v>0</v>
      </c>
    </row>
    <row r="27" spans="1:12" x14ac:dyDescent="0.55000000000000004">
      <c r="A27" s="1"/>
      <c r="B27" s="1"/>
      <c r="C27" s="66"/>
      <c r="D27" s="66"/>
      <c r="E27" s="66"/>
      <c r="F27" s="66"/>
      <c r="G27" s="66"/>
      <c r="H27" s="66"/>
      <c r="I27" s="1"/>
      <c r="J27" s="1"/>
    </row>
    <row r="28" spans="1:12" x14ac:dyDescent="0.55000000000000004">
      <c r="A28" s="1"/>
      <c r="B28" s="1"/>
      <c r="C28" s="1"/>
      <c r="D28" s="1"/>
      <c r="E28" s="1"/>
      <c r="F28" s="1"/>
      <c r="G28" s="1"/>
      <c r="H28" s="1"/>
      <c r="I28" s="4" t="s">
        <v>6</v>
      </c>
      <c r="J28" s="5">
        <f>SUM(J22:J27)</f>
        <v>22500</v>
      </c>
      <c r="K28" s="10"/>
      <c r="L28" s="11"/>
    </row>
    <row r="29" spans="1:12" x14ac:dyDescent="0.55000000000000004">
      <c r="A29" s="1"/>
      <c r="B29" s="1"/>
      <c r="C29" s="1"/>
      <c r="D29" s="1"/>
      <c r="E29" s="1"/>
      <c r="F29" s="1"/>
      <c r="G29" s="1"/>
      <c r="H29" s="1"/>
      <c r="I29" s="6" t="s">
        <v>74</v>
      </c>
      <c r="J29" s="7">
        <f>J28*0.16</f>
        <v>3600</v>
      </c>
      <c r="L29" s="14"/>
    </row>
    <row r="30" spans="1:12" x14ac:dyDescent="0.55000000000000004">
      <c r="F30" s="1"/>
      <c r="G30" s="1"/>
      <c r="H30" s="1"/>
      <c r="I30" s="2" t="s">
        <v>5</v>
      </c>
      <c r="J30" s="8">
        <f>J28+J29</f>
        <v>26100</v>
      </c>
    </row>
    <row r="31" spans="1:12" ht="14.7" thickBot="1" x14ac:dyDescent="0.6">
      <c r="F31" s="9"/>
      <c r="G31" s="9"/>
      <c r="H31" s="1"/>
      <c r="I31" s="1"/>
      <c r="J31" s="1"/>
    </row>
    <row r="32" spans="1:12" x14ac:dyDescent="0.55000000000000004">
      <c r="A32" s="22" t="s">
        <v>120</v>
      </c>
      <c r="B32" s="24"/>
      <c r="C32" s="25"/>
      <c r="D32" s="25"/>
      <c r="E32" s="25"/>
      <c r="F32" s="25"/>
      <c r="G32" s="25"/>
      <c r="H32" s="25"/>
      <c r="I32" s="25"/>
      <c r="J32" s="26"/>
    </row>
    <row r="33" spans="2:10" x14ac:dyDescent="0.55000000000000004">
      <c r="B33" s="27"/>
      <c r="C33" s="28"/>
      <c r="D33" s="28"/>
      <c r="E33" s="28"/>
      <c r="F33" s="28"/>
      <c r="G33" s="28"/>
      <c r="H33" s="28"/>
      <c r="I33" s="28"/>
      <c r="J33" s="29"/>
    </row>
    <row r="34" spans="2:10" ht="14.7" thickBot="1" x14ac:dyDescent="0.6">
      <c r="B34" s="30"/>
      <c r="C34" s="31"/>
      <c r="D34" s="31"/>
      <c r="E34" s="31"/>
      <c r="F34" s="31"/>
      <c r="G34" s="31"/>
      <c r="H34" s="31"/>
      <c r="I34" s="31"/>
      <c r="J34" s="32"/>
    </row>
  </sheetData>
  <mergeCells count="32">
    <mergeCell ref="A9:A11"/>
    <mergeCell ref="B8:G8"/>
    <mergeCell ref="B9:G11"/>
    <mergeCell ref="C22:D22"/>
    <mergeCell ref="H22:I22"/>
    <mergeCell ref="E22:G22"/>
    <mergeCell ref="C21:D21"/>
    <mergeCell ref="H21:I21"/>
    <mergeCell ref="B13:G13"/>
    <mergeCell ref="B14:G14"/>
    <mergeCell ref="B15:G15"/>
    <mergeCell ref="E21:G21"/>
    <mergeCell ref="B12:G12"/>
    <mergeCell ref="H13:J15"/>
    <mergeCell ref="B4:E4"/>
    <mergeCell ref="H4:J4"/>
    <mergeCell ref="C23:D23"/>
    <mergeCell ref="E23:G23"/>
    <mergeCell ref="H23:I23"/>
    <mergeCell ref="B32:J34"/>
    <mergeCell ref="B7:G7"/>
    <mergeCell ref="H7:J12"/>
    <mergeCell ref="H26:I26"/>
    <mergeCell ref="C24:D24"/>
    <mergeCell ref="C25:D25"/>
    <mergeCell ref="C26:D26"/>
    <mergeCell ref="C27:H27"/>
    <mergeCell ref="E24:G24"/>
    <mergeCell ref="E25:G25"/>
    <mergeCell ref="E26:G26"/>
    <mergeCell ref="H24:I24"/>
    <mergeCell ref="H25:I25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C15:G16 B15" xr:uid="{00000000-0002-0000-0000-000004000000}">
      <formula1>INDIRECT(++$B$14)</formula1>
    </dataValidation>
  </dataValidations>
  <pageMargins left="0.70866141732283505" right="0.70866141732283505" top="0.74803149606299202" bottom="0.74803149606299202" header="0.31496062992126" footer="0.31496062992126"/>
  <pageSetup scale="8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B13:G13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B12:G12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B14:G14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M11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4.4" x14ac:dyDescent="0.55000000000000004"/>
  <cols>
    <col min="1" max="1" width="39.47265625" customWidth="1"/>
    <col min="3" max="3" width="56.15625" bestFit="1" customWidth="1"/>
    <col min="5" max="5" width="33.83984375" bestFit="1" customWidth="1"/>
    <col min="7" max="7" width="87.83984375" bestFit="1" customWidth="1"/>
  </cols>
  <sheetData>
    <row r="1" spans="1:7" x14ac:dyDescent="0.55000000000000004">
      <c r="A1" t="s">
        <v>13</v>
      </c>
      <c r="C1" t="s">
        <v>48</v>
      </c>
      <c r="E1" t="s">
        <v>2</v>
      </c>
      <c r="G1" t="s">
        <v>37</v>
      </c>
    </row>
    <row r="2" spans="1:7" x14ac:dyDescent="0.55000000000000004">
      <c r="A2" t="s">
        <v>12</v>
      </c>
      <c r="C2" t="s">
        <v>38</v>
      </c>
      <c r="E2" t="s">
        <v>49</v>
      </c>
      <c r="G2" t="s">
        <v>14</v>
      </c>
    </row>
    <row r="3" spans="1:7" x14ac:dyDescent="0.55000000000000004">
      <c r="A3" t="s">
        <v>75</v>
      </c>
      <c r="C3" t="s">
        <v>39</v>
      </c>
      <c r="E3" t="s">
        <v>50</v>
      </c>
      <c r="G3" t="s">
        <v>15</v>
      </c>
    </row>
    <row r="4" spans="1:7" x14ac:dyDescent="0.55000000000000004">
      <c r="C4" t="s">
        <v>40</v>
      </c>
      <c r="E4" t="s">
        <v>58</v>
      </c>
      <c r="G4" t="s">
        <v>16</v>
      </c>
    </row>
    <row r="5" spans="1:7" x14ac:dyDescent="0.55000000000000004">
      <c r="A5" t="s">
        <v>10</v>
      </c>
      <c r="C5" t="s">
        <v>41</v>
      </c>
      <c r="E5" t="s">
        <v>51</v>
      </c>
      <c r="G5" t="s">
        <v>18</v>
      </c>
    </row>
    <row r="6" spans="1:7" x14ac:dyDescent="0.55000000000000004">
      <c r="A6" t="s">
        <v>78</v>
      </c>
      <c r="C6" t="s">
        <v>42</v>
      </c>
      <c r="E6" t="s">
        <v>52</v>
      </c>
      <c r="G6" t="s">
        <v>17</v>
      </c>
    </row>
    <row r="7" spans="1:7" x14ac:dyDescent="0.55000000000000004">
      <c r="A7" t="s">
        <v>11</v>
      </c>
      <c r="C7" t="s">
        <v>43</v>
      </c>
      <c r="E7" t="s">
        <v>53</v>
      </c>
      <c r="G7" t="s">
        <v>19</v>
      </c>
    </row>
    <row r="8" spans="1:7" x14ac:dyDescent="0.55000000000000004">
      <c r="A8" t="s">
        <v>91</v>
      </c>
      <c r="C8" t="s">
        <v>44</v>
      </c>
      <c r="E8" t="s">
        <v>54</v>
      </c>
      <c r="G8" t="s">
        <v>20</v>
      </c>
    </row>
    <row r="9" spans="1:7" x14ac:dyDescent="0.55000000000000004">
      <c r="A9" t="s">
        <v>77</v>
      </c>
      <c r="C9" t="s">
        <v>45</v>
      </c>
      <c r="E9" t="s">
        <v>55</v>
      </c>
      <c r="G9" t="s">
        <v>21</v>
      </c>
    </row>
    <row r="10" spans="1:7" x14ac:dyDescent="0.55000000000000004">
      <c r="A10" t="s">
        <v>85</v>
      </c>
      <c r="C10" t="s">
        <v>46</v>
      </c>
      <c r="E10" t="s">
        <v>56</v>
      </c>
      <c r="G10" t="s">
        <v>22</v>
      </c>
    </row>
    <row r="11" spans="1:7" x14ac:dyDescent="0.55000000000000004">
      <c r="A11" t="s">
        <v>86</v>
      </c>
      <c r="C11" t="s">
        <v>47</v>
      </c>
      <c r="E11" t="s">
        <v>57</v>
      </c>
      <c r="G11" t="s">
        <v>23</v>
      </c>
    </row>
    <row r="12" spans="1:7" x14ac:dyDescent="0.55000000000000004">
      <c r="A12" t="s">
        <v>88</v>
      </c>
      <c r="E12" t="s">
        <v>59</v>
      </c>
      <c r="G12" t="s">
        <v>24</v>
      </c>
    </row>
    <row r="13" spans="1:7" x14ac:dyDescent="0.55000000000000004">
      <c r="A13" t="s">
        <v>89</v>
      </c>
      <c r="E13" t="s">
        <v>60</v>
      </c>
      <c r="G13" t="s">
        <v>25</v>
      </c>
    </row>
    <row r="14" spans="1:7" x14ac:dyDescent="0.55000000000000004">
      <c r="A14" t="s">
        <v>90</v>
      </c>
      <c r="E14" t="s">
        <v>61</v>
      </c>
      <c r="G14" t="s">
        <v>26</v>
      </c>
    </row>
    <row r="15" spans="1:7" x14ac:dyDescent="0.55000000000000004">
      <c r="A15" t="s">
        <v>95</v>
      </c>
      <c r="E15" t="s">
        <v>62</v>
      </c>
      <c r="G15" t="s">
        <v>27</v>
      </c>
    </row>
    <row r="16" spans="1:7" x14ac:dyDescent="0.55000000000000004">
      <c r="A16" t="s">
        <v>96</v>
      </c>
      <c r="E16" t="s">
        <v>63</v>
      </c>
      <c r="G16" t="s">
        <v>28</v>
      </c>
    </row>
    <row r="17" spans="1:7" x14ac:dyDescent="0.55000000000000004">
      <c r="A17" t="s">
        <v>97</v>
      </c>
      <c r="E17" t="s">
        <v>64</v>
      </c>
      <c r="G17" t="s">
        <v>29</v>
      </c>
    </row>
    <row r="18" spans="1:7" x14ac:dyDescent="0.55000000000000004">
      <c r="A18" t="s">
        <v>98</v>
      </c>
      <c r="E18" t="s">
        <v>65</v>
      </c>
      <c r="G18" t="s">
        <v>30</v>
      </c>
    </row>
    <row r="19" spans="1:7" x14ac:dyDescent="0.55000000000000004">
      <c r="A19" t="s">
        <v>99</v>
      </c>
      <c r="E19" t="s">
        <v>81</v>
      </c>
      <c r="G19" t="s">
        <v>31</v>
      </c>
    </row>
    <row r="20" spans="1:7" x14ac:dyDescent="0.55000000000000004">
      <c r="A20" t="s">
        <v>100</v>
      </c>
      <c r="E20" t="s">
        <v>76</v>
      </c>
      <c r="G20" t="s">
        <v>32</v>
      </c>
    </row>
    <row r="21" spans="1:7" x14ac:dyDescent="0.55000000000000004">
      <c r="A21" t="s">
        <v>101</v>
      </c>
      <c r="E21" t="s">
        <v>79</v>
      </c>
      <c r="G21" t="s">
        <v>33</v>
      </c>
    </row>
    <row r="22" spans="1:7" x14ac:dyDescent="0.55000000000000004">
      <c r="A22" t="s">
        <v>108</v>
      </c>
      <c r="E22" t="s">
        <v>80</v>
      </c>
      <c r="G22" t="s">
        <v>34</v>
      </c>
    </row>
    <row r="23" spans="1:7" x14ac:dyDescent="0.55000000000000004">
      <c r="E23" t="s">
        <v>82</v>
      </c>
      <c r="G23" t="s">
        <v>35</v>
      </c>
    </row>
    <row r="24" spans="1:7" x14ac:dyDescent="0.55000000000000004">
      <c r="E24" t="s">
        <v>83</v>
      </c>
      <c r="G24" t="s">
        <v>36</v>
      </c>
    </row>
    <row r="25" spans="1:7" x14ac:dyDescent="0.55000000000000004">
      <c r="E25" t="s">
        <v>84</v>
      </c>
    </row>
    <row r="26" spans="1:7" x14ac:dyDescent="0.55000000000000004">
      <c r="E26" t="s">
        <v>92</v>
      </c>
    </row>
    <row r="27" spans="1:7" x14ac:dyDescent="0.55000000000000004">
      <c r="E27" t="s">
        <v>93</v>
      </c>
    </row>
    <row r="28" spans="1:7" x14ac:dyDescent="0.55000000000000004">
      <c r="E28" t="s">
        <v>94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4.4" x14ac:dyDescent="0.55000000000000004"/>
  <cols>
    <col min="1" max="1" width="15.47265625" customWidth="1"/>
    <col min="2" max="2" width="14.47265625" customWidth="1"/>
    <col min="3" max="3" width="21.47265625" customWidth="1"/>
    <col min="4" max="4" width="18.83984375" customWidth="1"/>
  </cols>
  <sheetData>
    <row r="1" spans="1:4" x14ac:dyDescent="0.55000000000000004">
      <c r="A1" t="s">
        <v>104</v>
      </c>
      <c r="B1" t="s">
        <v>105</v>
      </c>
      <c r="C1" t="s">
        <v>107</v>
      </c>
      <c r="D1" t="s">
        <v>106</v>
      </c>
    </row>
    <row r="2" spans="1:4" x14ac:dyDescent="0.55000000000000004">
      <c r="A2" t="s">
        <v>102</v>
      </c>
      <c r="B2" t="s">
        <v>102</v>
      </c>
      <c r="C2" t="s">
        <v>102</v>
      </c>
      <c r="D2" t="s">
        <v>103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PROFORMA MVC CESAMA FINANCIERA</vt:lpstr>
      <vt:lpstr>LISTAS</vt:lpstr>
      <vt:lpstr>PAGO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mario magaña castañeda</cp:lastModifiedBy>
  <cp:lastPrinted>2024-06-06T23:59:04Z</cp:lastPrinted>
  <dcterms:created xsi:type="dcterms:W3CDTF">2017-12-04T17:48:14Z</dcterms:created>
  <dcterms:modified xsi:type="dcterms:W3CDTF">2026-03-03T22:49:12Z</dcterms:modified>
</cp:coreProperties>
</file>