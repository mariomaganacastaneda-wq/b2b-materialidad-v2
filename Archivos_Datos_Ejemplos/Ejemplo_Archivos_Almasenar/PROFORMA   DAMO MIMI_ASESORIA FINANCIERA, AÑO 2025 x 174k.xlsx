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CLAUDIA ESPINOZA LAU\RICARDO MEDINA\"/>
    </mc:Choice>
  </mc:AlternateContent>
  <xr:revisionPtr revIDLastSave="0" documentId="8_{A83A6D01-6BEA-4D54-BFA2-EC26DEFF1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" i="4" l="1"/>
  <c r="J18" i="4"/>
  <c r="J15" i="4"/>
  <c r="J20" i="4" l="1"/>
  <c r="J21" i="4" l="1"/>
  <c r="J22" i="4" s="1"/>
</calcChain>
</file>

<file path=xl/sharedStrings.xml><?xml version="1.0" encoding="utf-8"?>
<sst xmlns="http://schemas.openxmlformats.org/spreadsheetml/2006/main" count="110" uniqueCount="103">
  <si>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</si>
  <si>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</si>
  <si>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</si>
  <si>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</si>
  <si>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</si>
  <si>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</si>
  <si>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</si>
  <si>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</si>
  <si>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</si>
  <si>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</si>
  <si>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</si>
  <si>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</si>
  <si>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</si>
  <si>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</si>
  <si>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</si>
  <si>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</si>
  <si>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</si>
  <si>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</si>
  <si>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</si>
  <si>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</si>
  <si>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</si>
  <si>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</si>
  <si>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</si>
  <si>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</si>
  <si>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</si>
  <si>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</si>
  <si>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</si>
  <si>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</si>
  <si>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</si>
  <si>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</si>
  <si>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</si>
  <si>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</si>
  <si>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</si>
  <si>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</si>
  <si>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</si>
  <si>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</si>
  <si>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</si>
  <si>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</si>
  <si>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</si>
  <si>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</si>
  <si>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</si>
  <si>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</si>
  <si>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</si>
  <si>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</si>
  <si>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</si>
  <si>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</si>
  <si>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</si>
  <si>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</si>
  <si>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</si>
  <si>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</si>
  <si>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</si>
  <si>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</si>
  <si>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</si>
  <si>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</si>
  <si>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</si>
  <si>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</si>
  <si>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</si>
  <si>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</si>
  <si>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</si>
  <si>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</si>
  <si>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</si>
  <si>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</si>
  <si>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</si>
  <si>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</si>
  <si>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</si>
  <si>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</si>
  <si>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</si>
  <si>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</si>
  <si>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</si>
  <si>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</si>
  <si>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</si>
  <si>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</si>
  <si>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</si>
  <si>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</si>
  <si>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</si>
  <si>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</si>
  <si>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</si>
  <si>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</si>
  <si>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</si>
  <si>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</si>
  <si>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</si>
  <si>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</si>
  <si>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</si>
  <si>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</si>
  <si>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</si>
  <si>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</si>
  <si>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</si>
  <si>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</si>
  <si>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</si>
  <si>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</si>
  <si>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</si>
  <si>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</si>
  <si>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</si>
  <si>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</si>
  <si>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</si>
  <si>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</si>
  <si>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</si>
  <si>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</si>
  <si>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DAMO SOLUCIONES EN EMPAQUE Y EMBALAJE </t>
  </si>
  <si>
    <t>DSE2010201T5</t>
  </si>
  <si>
    <t>CALLE  PIPILA NO. 142, S/N, COL. GUADALUPE DEL MORAL, ALCALDIA IZTAPALAPA, CDMX, C.P. 09300</t>
  </si>
  <si>
    <t>MIMI</t>
  </si>
  <si>
    <t>ASEORIA FINANCIERA 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</si>
</sst>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selection activeCell="A2" sqref="A2:J23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15.5546875" customWidth="1"/>
    <col min="8" max="8" width="7.6640625" customWidth="1"/>
    <col min="9" max="9" width="8.6640625" customWidth="1"/>
    <col min="10" max="10" width="13.66406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2" t="s">
        <v>11</v>
      </c>
      <c r="B2" s="51"/>
      <c r="C2" s="52"/>
      <c r="D2" s="52"/>
      <c r="E2" s="53"/>
      <c r="F2" s="1"/>
      <c r="G2" s="12" t="s">
        <v>9</v>
      </c>
      <c r="H2" s="54" t="s">
        <v>10</v>
      </c>
      <c r="I2" s="54"/>
      <c r="J2" s="54"/>
    </row>
    <row r="3" spans="1:10" x14ac:dyDescent="0.3">
      <c r="A3" s="3"/>
      <c r="B3" t="s">
        <v>101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3" t="s">
        <v>83</v>
      </c>
      <c r="B4" s="62" t="s">
        <v>98</v>
      </c>
      <c r="C4" s="63"/>
      <c r="D4" s="63"/>
      <c r="E4" s="63"/>
      <c r="F4" s="63"/>
      <c r="G4" s="63"/>
      <c r="H4" s="63"/>
      <c r="I4" s="63"/>
      <c r="J4" s="64"/>
    </row>
    <row r="5" spans="1:10" x14ac:dyDescent="0.3">
      <c r="A5" s="14" t="s">
        <v>76</v>
      </c>
      <c r="B5" s="27" t="s">
        <v>99</v>
      </c>
      <c r="C5" s="28"/>
      <c r="D5" s="28"/>
      <c r="E5" s="28"/>
      <c r="F5" s="28"/>
      <c r="G5" s="29"/>
      <c r="H5" s="70" t="s">
        <v>82</v>
      </c>
      <c r="I5" s="71"/>
      <c r="J5" s="72"/>
    </row>
    <row r="6" spans="1:10" ht="14.25" customHeight="1" x14ac:dyDescent="0.3">
      <c r="A6" s="24" t="s">
        <v>77</v>
      </c>
      <c r="B6" s="30" t="s">
        <v>100</v>
      </c>
      <c r="C6" s="31"/>
      <c r="D6" s="31"/>
      <c r="E6" s="31"/>
      <c r="F6" s="31"/>
      <c r="G6" s="32"/>
      <c r="H6" s="73"/>
      <c r="I6" s="74"/>
      <c r="J6" s="75"/>
    </row>
    <row r="7" spans="1:10" x14ac:dyDescent="0.3">
      <c r="A7" s="25"/>
      <c r="B7" s="33"/>
      <c r="C7" s="34"/>
      <c r="D7" s="34"/>
      <c r="E7" s="34"/>
      <c r="F7" s="34"/>
      <c r="G7" s="35"/>
      <c r="H7" s="73"/>
      <c r="I7" s="74"/>
      <c r="J7" s="75"/>
    </row>
    <row r="8" spans="1:10" ht="6.75" customHeight="1" x14ac:dyDescent="0.3">
      <c r="A8" s="26"/>
      <c r="B8" s="36"/>
      <c r="C8" s="37"/>
      <c r="D8" s="37"/>
      <c r="E8" s="37"/>
      <c r="F8" s="37"/>
      <c r="G8" s="38"/>
      <c r="H8" s="73"/>
      <c r="I8" s="74"/>
      <c r="J8" s="75"/>
    </row>
    <row r="9" spans="1:10" x14ac:dyDescent="0.3">
      <c r="A9" s="13" t="s">
        <v>78</v>
      </c>
      <c r="B9" s="39" t="s">
        <v>16</v>
      </c>
      <c r="C9" s="40"/>
      <c r="D9" s="40"/>
      <c r="E9" s="40"/>
      <c r="F9" s="40"/>
      <c r="G9" s="41"/>
      <c r="H9" s="76"/>
      <c r="I9" s="77"/>
      <c r="J9" s="78"/>
    </row>
    <row r="10" spans="1:10" x14ac:dyDescent="0.3">
      <c r="A10" s="15" t="s">
        <v>79</v>
      </c>
      <c r="B10" s="67" t="s">
        <v>41</v>
      </c>
      <c r="C10" s="68"/>
      <c r="D10" s="68"/>
      <c r="E10" s="68"/>
      <c r="F10" s="68"/>
      <c r="G10" s="69"/>
      <c r="H10" s="42" t="s">
        <v>75</v>
      </c>
      <c r="I10" s="43"/>
      <c r="J10" s="44"/>
    </row>
    <row r="11" spans="1:10" x14ac:dyDescent="0.3">
      <c r="A11" s="15" t="s">
        <v>80</v>
      </c>
      <c r="B11" s="67" t="s">
        <v>54</v>
      </c>
      <c r="C11" s="68"/>
      <c r="D11" s="68"/>
      <c r="E11" s="68"/>
      <c r="F11" s="68"/>
      <c r="G11" s="69"/>
      <c r="H11" s="45"/>
      <c r="I11" s="46"/>
      <c r="J11" s="47"/>
    </row>
    <row r="12" spans="1:10" x14ac:dyDescent="0.3">
      <c r="A12" s="15" t="s">
        <v>81</v>
      </c>
      <c r="B12" s="67" t="s">
        <v>56</v>
      </c>
      <c r="C12" s="68"/>
      <c r="D12" s="68"/>
      <c r="E12" s="68"/>
      <c r="F12" s="68"/>
      <c r="G12" s="69"/>
      <c r="H12" s="48"/>
      <c r="I12" s="49"/>
      <c r="J12" s="50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6" t="s">
        <v>2</v>
      </c>
      <c r="B14" s="16" t="s">
        <v>3</v>
      </c>
      <c r="C14" s="65" t="s">
        <v>4</v>
      </c>
      <c r="D14" s="66"/>
      <c r="E14" s="65" t="s">
        <v>5</v>
      </c>
      <c r="F14" s="79"/>
      <c r="G14" s="66"/>
      <c r="H14" s="65" t="s">
        <v>6</v>
      </c>
      <c r="I14" s="66"/>
      <c r="J14" s="16" t="s">
        <v>7</v>
      </c>
    </row>
    <row r="15" spans="1:10" ht="48" customHeight="1" x14ac:dyDescent="0.3">
      <c r="A15" s="23"/>
      <c r="B15" s="10">
        <v>1</v>
      </c>
      <c r="C15" s="55" t="s">
        <v>57</v>
      </c>
      <c r="D15" s="56"/>
      <c r="E15" s="57" t="s">
        <v>102</v>
      </c>
      <c r="F15" s="58"/>
      <c r="G15" s="59"/>
      <c r="H15" s="60">
        <v>150000</v>
      </c>
      <c r="I15" s="61"/>
      <c r="J15" s="9">
        <f t="shared" ref="J15" si="0">B15*H15</f>
        <v>150000</v>
      </c>
    </row>
    <row r="16" spans="1:10" ht="59.25" hidden="1" customHeight="1" x14ac:dyDescent="0.3">
      <c r="A16" s="23"/>
      <c r="B16" s="10"/>
      <c r="C16" s="55"/>
      <c r="D16" s="56"/>
      <c r="E16" s="57"/>
      <c r="F16" s="58"/>
      <c r="G16" s="59"/>
      <c r="H16" s="60"/>
      <c r="I16" s="61"/>
      <c r="J16" s="9"/>
    </row>
    <row r="17" spans="1:10" ht="51.75" hidden="1" customHeight="1" x14ac:dyDescent="0.3">
      <c r="A17" s="23"/>
      <c r="B17" s="10"/>
      <c r="C17" s="55"/>
      <c r="D17" s="56"/>
      <c r="E17" s="57"/>
      <c r="F17" s="58"/>
      <c r="G17" s="59"/>
      <c r="H17" s="60"/>
      <c r="I17" s="61"/>
      <c r="J17" s="9"/>
    </row>
    <row r="18" spans="1:10" hidden="1" x14ac:dyDescent="0.3">
      <c r="A18" s="23"/>
      <c r="B18" s="10"/>
      <c r="C18" s="55"/>
      <c r="D18" s="56"/>
      <c r="E18" s="57"/>
      <c r="F18" s="58"/>
      <c r="G18" s="59"/>
      <c r="H18" s="60"/>
      <c r="I18" s="61"/>
      <c r="J18" s="9">
        <f t="shared" ref="J18:J19" si="1">B18*H18</f>
        <v>0</v>
      </c>
    </row>
    <row r="19" spans="1:10" hidden="1" x14ac:dyDescent="0.3">
      <c r="A19" s="23"/>
      <c r="B19" s="10"/>
      <c r="C19" s="55"/>
      <c r="D19" s="56"/>
      <c r="E19" s="57"/>
      <c r="F19" s="58"/>
      <c r="G19" s="59"/>
      <c r="H19" s="60"/>
      <c r="I19" s="61"/>
      <c r="J19" s="9">
        <f t="shared" si="1"/>
        <v>0</v>
      </c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4" t="s">
        <v>8</v>
      </c>
      <c r="J20" s="5">
        <f>SUM(J15:J19)</f>
        <v>150000</v>
      </c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6" t="s">
        <v>84</v>
      </c>
      <c r="J21" s="7">
        <f>J20*0.16</f>
        <v>24000</v>
      </c>
    </row>
    <row r="22" spans="1:10" x14ac:dyDescent="0.3">
      <c r="A22" s="17" t="s">
        <v>96</v>
      </c>
      <c r="B22" s="18"/>
      <c r="C22" s="18"/>
      <c r="D22" s="18"/>
      <c r="E22" s="19"/>
      <c r="F22" s="1"/>
      <c r="G22" s="1"/>
      <c r="H22" s="1"/>
      <c r="I22" s="2" t="s">
        <v>7</v>
      </c>
      <c r="J22" s="8">
        <f>J20+J21</f>
        <v>174000</v>
      </c>
    </row>
    <row r="23" spans="1:10" x14ac:dyDescent="0.3">
      <c r="A23" s="22" t="s">
        <v>97</v>
      </c>
      <c r="B23" s="20"/>
      <c r="C23" s="20"/>
      <c r="D23" s="20"/>
      <c r="E23" s="21"/>
      <c r="F23" s="11"/>
      <c r="G23" s="11"/>
      <c r="H23" s="1"/>
      <c r="I23" s="1"/>
      <c r="J23" s="1"/>
    </row>
  </sheetData>
  <mergeCells count="30">
    <mergeCell ref="C19:D19"/>
    <mergeCell ref="E19:G19"/>
    <mergeCell ref="H19:I19"/>
    <mergeCell ref="C17:D17"/>
    <mergeCell ref="E17:G17"/>
    <mergeCell ref="H17:I17"/>
    <mergeCell ref="C18:D18"/>
    <mergeCell ref="E18:G18"/>
    <mergeCell ref="H18:I18"/>
    <mergeCell ref="B2:E2"/>
    <mergeCell ref="H2:J2"/>
    <mergeCell ref="C16:D16"/>
    <mergeCell ref="E16:G16"/>
    <mergeCell ref="H16:I16"/>
    <mergeCell ref="C15:D15"/>
    <mergeCell ref="H15:I15"/>
    <mergeCell ref="E15:G15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hyperlinks>
    <hyperlink ref="A23" r:id="rId1" xr:uid="{BF6D1640-420E-46BE-A64F-0F3BC89B38D1}"/>
  </hyperlinks>
  <pageMargins left="0.7" right="0.7" top="0.75" bottom="0.75" header="0.3" footer="0.3"/>
  <pageSetup paperSize="9" orientation="landscape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Hoja1!$C$26:$C$49</xm:f>
          </x14:formula1>
          <xm:sqref>C15:D19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4.4" x14ac:dyDescent="0.3"/>
  <cols>
    <col min="1" max="1" width="39.44140625" customWidth="1"/>
    <col min="3" max="3" width="12" customWidth="1"/>
  </cols>
  <sheetData>
    <row r="1" spans="1:3" x14ac:dyDescent="0.3">
      <c r="C1" t="s">
        <v>50</v>
      </c>
    </row>
    <row r="2" spans="1:3" x14ac:dyDescent="0.3">
      <c r="C2" t="s">
        <v>40</v>
      </c>
    </row>
    <row r="3" spans="1:3" x14ac:dyDescent="0.3">
      <c r="C3" t="s">
        <v>41</v>
      </c>
    </row>
    <row r="4" spans="1:3" x14ac:dyDescent="0.3">
      <c r="C4" t="s">
        <v>42</v>
      </c>
    </row>
    <row r="5" spans="1:3" x14ac:dyDescent="0.3">
      <c r="C5" t="s">
        <v>43</v>
      </c>
    </row>
    <row r="6" spans="1:3" x14ac:dyDescent="0.3">
      <c r="C6" t="s">
        <v>44</v>
      </c>
    </row>
    <row r="7" spans="1:3" x14ac:dyDescent="0.3">
      <c r="C7" t="s">
        <v>45</v>
      </c>
    </row>
    <row r="8" spans="1:3" x14ac:dyDescent="0.3">
      <c r="C8" t="s">
        <v>46</v>
      </c>
    </row>
    <row r="9" spans="1:3" x14ac:dyDescent="0.3">
      <c r="C9" t="s">
        <v>47</v>
      </c>
    </row>
    <row r="10" spans="1:3" x14ac:dyDescent="0.3">
      <c r="A10" t="s">
        <v>39</v>
      </c>
      <c r="C10" t="s">
        <v>48</v>
      </c>
    </row>
    <row r="11" spans="1:3" x14ac:dyDescent="0.3">
      <c r="A11" t="s">
        <v>16</v>
      </c>
      <c r="C11" t="s">
        <v>49</v>
      </c>
    </row>
    <row r="12" spans="1:3" x14ac:dyDescent="0.3">
      <c r="A12" t="s">
        <v>17</v>
      </c>
    </row>
    <row r="13" spans="1:3" x14ac:dyDescent="0.3">
      <c r="A13" t="s">
        <v>18</v>
      </c>
      <c r="C13" t="s">
        <v>0</v>
      </c>
    </row>
    <row r="14" spans="1:3" x14ac:dyDescent="0.3">
      <c r="A14" t="s">
        <v>20</v>
      </c>
      <c r="C14" t="s">
        <v>51</v>
      </c>
    </row>
    <row r="15" spans="1:3" x14ac:dyDescent="0.3">
      <c r="A15" t="s">
        <v>19</v>
      </c>
      <c r="C15" t="s">
        <v>52</v>
      </c>
    </row>
    <row r="16" spans="1:3" x14ac:dyDescent="0.3">
      <c r="A16" t="s">
        <v>21</v>
      </c>
      <c r="C16" t="s">
        <v>53</v>
      </c>
    </row>
    <row r="17" spans="1:3" x14ac:dyDescent="0.3">
      <c r="A17" t="s">
        <v>22</v>
      </c>
      <c r="C17" t="s">
        <v>54</v>
      </c>
    </row>
    <row r="18" spans="1:3" x14ac:dyDescent="0.3">
      <c r="A18" t="s">
        <v>23</v>
      </c>
    </row>
    <row r="19" spans="1:3" x14ac:dyDescent="0.3">
      <c r="A19" t="s">
        <v>24</v>
      </c>
    </row>
    <row r="20" spans="1:3" x14ac:dyDescent="0.3">
      <c r="A20" t="s">
        <v>25</v>
      </c>
      <c r="C20" t="s">
        <v>1</v>
      </c>
    </row>
    <row r="21" spans="1:3" x14ac:dyDescent="0.3">
      <c r="A21" t="s">
        <v>26</v>
      </c>
      <c r="C21" t="s">
        <v>55</v>
      </c>
    </row>
    <row r="22" spans="1:3" x14ac:dyDescent="0.3">
      <c r="A22" t="s">
        <v>27</v>
      </c>
      <c r="C22" t="s">
        <v>56</v>
      </c>
    </row>
    <row r="23" spans="1:3" x14ac:dyDescent="0.3">
      <c r="A23" t="s">
        <v>28</v>
      </c>
    </row>
    <row r="24" spans="1:3" x14ac:dyDescent="0.3">
      <c r="A24" t="s">
        <v>29</v>
      </c>
    </row>
    <row r="25" spans="1:3" x14ac:dyDescent="0.3">
      <c r="A25" t="s">
        <v>30</v>
      </c>
      <c r="C25" t="s">
        <v>4</v>
      </c>
    </row>
    <row r="26" spans="1:3" x14ac:dyDescent="0.3">
      <c r="A26" t="s">
        <v>31</v>
      </c>
      <c r="C26" t="s">
        <v>57</v>
      </c>
    </row>
    <row r="27" spans="1:3" x14ac:dyDescent="0.3">
      <c r="A27" t="s">
        <v>32</v>
      </c>
      <c r="C27" t="s">
        <v>58</v>
      </c>
    </row>
    <row r="28" spans="1:3" x14ac:dyDescent="0.3">
      <c r="A28" t="s">
        <v>33</v>
      </c>
      <c r="C28" t="s">
        <v>66</v>
      </c>
    </row>
    <row r="29" spans="1:3" x14ac:dyDescent="0.3">
      <c r="A29" t="s">
        <v>34</v>
      </c>
      <c r="C29" t="s">
        <v>59</v>
      </c>
    </row>
    <row r="30" spans="1:3" x14ac:dyDescent="0.3">
      <c r="A30" t="s">
        <v>35</v>
      </c>
      <c r="C30" t="s">
        <v>60</v>
      </c>
    </row>
    <row r="31" spans="1:3" x14ac:dyDescent="0.3">
      <c r="A31" t="s">
        <v>36</v>
      </c>
      <c r="C31" t="s">
        <v>61</v>
      </c>
    </row>
    <row r="32" spans="1:3" x14ac:dyDescent="0.3">
      <c r="A32" t="s">
        <v>37</v>
      </c>
      <c r="C32" t="s">
        <v>62</v>
      </c>
    </row>
    <row r="33" spans="1:3" x14ac:dyDescent="0.3">
      <c r="A33" t="s">
        <v>38</v>
      </c>
      <c r="C33" t="s">
        <v>63</v>
      </c>
    </row>
    <row r="34" spans="1:3" x14ac:dyDescent="0.3">
      <c r="C34" t="s">
        <v>64</v>
      </c>
    </row>
    <row r="35" spans="1:3" x14ac:dyDescent="0.3">
      <c r="A35" t="s">
        <v>15</v>
      </c>
      <c r="C35" t="s">
        <v>65</v>
      </c>
    </row>
    <row r="36" spans="1:3" x14ac:dyDescent="0.3">
      <c r="A36" t="s">
        <v>14</v>
      </c>
      <c r="C36" t="s">
        <v>67</v>
      </c>
    </row>
    <row r="37" spans="1:3" x14ac:dyDescent="0.3">
      <c r="A37" t="s">
        <v>85</v>
      </c>
      <c r="C37" t="s">
        <v>68</v>
      </c>
    </row>
    <row r="38" spans="1:3" x14ac:dyDescent="0.3">
      <c r="A38" t="s">
        <v>87</v>
      </c>
      <c r="C38" t="s">
        <v>69</v>
      </c>
    </row>
    <row r="39" spans="1:3" x14ac:dyDescent="0.3">
      <c r="A39" t="s">
        <v>12</v>
      </c>
      <c r="C39" t="s">
        <v>70</v>
      </c>
    </row>
    <row r="40" spans="1:3" x14ac:dyDescent="0.3">
      <c r="A40" t="s">
        <v>89</v>
      </c>
      <c r="C40" t="s">
        <v>71</v>
      </c>
    </row>
    <row r="41" spans="1:3" x14ac:dyDescent="0.3">
      <c r="A41" t="s">
        <v>13</v>
      </c>
      <c r="C41" t="s">
        <v>72</v>
      </c>
    </row>
    <row r="42" spans="1:3" x14ac:dyDescent="0.3">
      <c r="A42" t="s">
        <v>74</v>
      </c>
      <c r="C42" t="s">
        <v>73</v>
      </c>
    </row>
    <row r="43" spans="1:3" x14ac:dyDescent="0.3">
      <c r="A43" t="s">
        <v>88</v>
      </c>
      <c r="C43" t="s">
        <v>92</v>
      </c>
    </row>
    <row r="44" spans="1:3" x14ac:dyDescent="0.3">
      <c r="C44" t="s">
        <v>86</v>
      </c>
    </row>
    <row r="45" spans="1:3" x14ac:dyDescent="0.3">
      <c r="C45" t="s">
        <v>90</v>
      </c>
    </row>
    <row r="46" spans="1:3" x14ac:dyDescent="0.3">
      <c r="C46" t="s">
        <v>91</v>
      </c>
    </row>
    <row r="47" spans="1:3" x14ac:dyDescent="0.3">
      <c r="C47" t="s">
        <v>93</v>
      </c>
    </row>
    <row r="48" spans="1:3" x14ac:dyDescent="0.3">
      <c r="C48" t="s">
        <v>94</v>
      </c>
    </row>
    <row r="49" spans="3:3" x14ac:dyDescent="0.3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2025-11-22T00:02:59Z</cp:lastPrinted>
  <dcterms:created xsi:type="dcterms:W3CDTF">2017-12-04T17:48:14Z</dcterms:created>
  <dcterms:modified xsi:type="dcterms:W3CDTF">2025-12-30T23:00:21Z</dcterms:modified>
</cp:coreProperties>
</file>