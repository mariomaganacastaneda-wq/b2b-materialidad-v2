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B5B2CB6D-20CC-5F4E-9DEF-62F0D1C4B1A2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MVC CESMA Financie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9" i="4" l="1"/>
  <c r="J18" i="4"/>
  <c r="J17" i="4" l="1"/>
  <c r="J21" i="4" l="1"/>
  <c r="J22" i="4" s="1"/>
  <c r="J23" i="4" l="1"/>
</calcChain>
</file>

<file path=xl/sharedStrings.xml><?xml version="1.0" encoding="utf-8"?>
<sst xmlns="http://schemas.openxmlformats.org/spreadsheetml/2006/main" count="125" uniqueCount="117">
  <si>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</si>
  <si>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</si>
  <si>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</si>
  <si>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</si>
  <si>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</si>
  <si>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</si>
  <si>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</si>
  <si>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</si>
  <si>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</si>
  <si>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</si>
  <si>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</si>
  <si>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</si>
  <si>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</si>
  <si>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</si>
  <si>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</si>
  <si>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</si>
  <si>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</si>
  <si>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</si>
  <si>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</si>
  <si>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</si>
  <si>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</si>
  <si>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</si>
  <si>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</si>
  <si>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</si>
  <si>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</si>
  <si>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</si>
  <si>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</si>
  <si>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</si>
  <si>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</si>
  <si>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</si>
  <si>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</si>
  <si>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</si>
  <si>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</si>
  <si>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</si>
  <si>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</si>
  <si>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</si>
  <si>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</si>
  <si>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</si>
  <si>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</si>
  <si>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</si>
  <si>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</si>
  <si>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</si>
  <si>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</si>
  <si>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</si>
  <si>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</si>
  <si>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</si>
  <si>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</si>
  <si>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</si>
  <si>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</si>
  <si>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</si>
  <si>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</si>
  <si>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</si>
  <si>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</si>
  <si>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</si>
  <si>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</si>
  <si>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</si>
  <si>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</si>
  <si>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</si>
  <si>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</si>
  <si>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</si>
  <si>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</si>
  <si>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</si>
  <si>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</si>
  <si>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</si>
  <si>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</si>
  <si>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</si>
  <si>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</si>
  <si>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</si>
  <si>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</si>
  <si>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</si>
  <si>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</si>
  <si>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</si>
  <si>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</si>
  <si>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</si>
  <si>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</si>
  <si>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</si>
  <si>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</si>
  <si>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</si>
  <si>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</si>
  <si>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</si>
  <si>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</si>
  <si>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</si>
  <si>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</si>
  <si>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</si>
  <si>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</si>
  <si>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</si>
  <si>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</si>
  <si>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</si>
  <si>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</si>
  <si>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</si>
  <si>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</si>
  <si>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</si>
  <si>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</si>
  <si>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</si>
  <si>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</si>
  <si>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</si>
  <si>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</si>
  <si>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</si>
  <si>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</si>
  <si>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</si>
  <si>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</si>
  <si>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</si>
  <si>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</si>
  <si>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</si>
  <si>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</si>
  <si>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</si>
  <si>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</si>
  <si>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</si>
  <si>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</si>
  <si>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</si>
  <si>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</si>
  <si>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Av. 20 de Noviembre  # 211 Int. 309, Centro, Cuautitlan, 54800, Estado de México, Tel . 5558759701</t>
  </si>
  <si>
    <t>CESMA SEGURIDAD PRIVADA, S. DE R.L. DE C.V.</t>
  </si>
  <si>
    <t>CSP230721JC3</t>
  </si>
  <si>
    <t>E-48, SERVICIO</t>
  </si>
  <si>
    <t>CARGO QUINCENAL 2 DE 24 POR SERVICIOS DE ASESORIA FINANCIERA, SEGUN CONTRATO</t>
  </si>
  <si>
    <t>MAGAÑA, VIEIRA y CUEVAS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</si>
</sst>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0" fontId="0" fillId="2" borderId="0" xfId="0" applyFill="1" applyAlignment="1">
      <alignment vertical="top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164" fontId="0" fillId="0" borderId="0" xfId="3" applyFont="1"/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6" fontId="0" fillId="0" borderId="0" xfId="0" applyNumberFormat="1"/>
    <xf numFmtId="4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8" fillId="2" borderId="0" xfId="0" applyFont="1" applyFill="1"/>
    <xf numFmtId="164" fontId="0" fillId="2" borderId="2" xfId="3" applyFont="1" applyFill="1" applyBorder="1" applyAlignment="1">
      <alignment horizontal="center" vertical="center" wrapText="1"/>
    </xf>
    <xf numFmtId="164" fontId="0" fillId="2" borderId="4" xfId="3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Moneda" xfId="3" builtinId="4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926353</xdr:colOff>
      <xdr:row>3</xdr:row>
      <xdr:rowOff>59765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606532-2A69-140A-E9C4-D23555A02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26353" cy="6424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tabSelected="1" zoomScale="85" zoomScaleNormal="85" workbookViewId="0">
      <selection activeCell="A8" sqref="A8:A10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23" t="s">
        <v>9</v>
      </c>
      <c r="B4" s="32"/>
      <c r="C4" s="32"/>
      <c r="D4" s="32"/>
      <c r="E4" s="32"/>
      <c r="F4" s="1"/>
      <c r="G4" s="23" t="s">
        <v>7</v>
      </c>
      <c r="H4" s="33" t="s">
        <v>8</v>
      </c>
      <c r="I4" s="33"/>
      <c r="J4" s="33"/>
    </row>
    <row r="5" spans="1:10" ht="16" x14ac:dyDescent="0.2">
      <c r="A5" s="3"/>
      <c r="B5" s="27" t="s">
        <v>116</v>
      </c>
      <c r="C5" s="1"/>
      <c r="D5" s="1"/>
      <c r="E5" s="1"/>
      <c r="F5" s="1"/>
      <c r="G5" s="1"/>
      <c r="H5" s="1"/>
      <c r="I5" s="1"/>
      <c r="J5" s="1"/>
    </row>
    <row r="6" spans="1:10" x14ac:dyDescent="0.2">
      <c r="A6" s="23" t="s">
        <v>73</v>
      </c>
      <c r="B6" s="53" t="s">
        <v>112</v>
      </c>
      <c r="C6" s="54"/>
      <c r="D6" s="54"/>
      <c r="E6" s="54"/>
      <c r="F6" s="54"/>
      <c r="G6" s="54"/>
      <c r="H6" s="54"/>
      <c r="I6" s="54"/>
      <c r="J6" s="55"/>
    </row>
    <row r="7" spans="1:10" x14ac:dyDescent="0.2">
      <c r="A7" s="24" t="s">
        <v>67</v>
      </c>
      <c r="B7" s="40" t="s">
        <v>113</v>
      </c>
      <c r="C7" s="41"/>
      <c r="D7" s="41"/>
      <c r="E7" s="41"/>
      <c r="F7" s="41"/>
      <c r="G7" s="42"/>
      <c r="H7" s="61" t="s">
        <v>72</v>
      </c>
      <c r="I7" s="62"/>
      <c r="J7" s="63"/>
    </row>
    <row r="8" spans="1:10" x14ac:dyDescent="0.2">
      <c r="A8" s="37" t="s">
        <v>89</v>
      </c>
      <c r="B8" s="43" t="s">
        <v>111</v>
      </c>
      <c r="C8" s="44"/>
      <c r="D8" s="44"/>
      <c r="E8" s="44"/>
      <c r="F8" s="44"/>
      <c r="G8" s="45"/>
      <c r="H8" s="64"/>
      <c r="I8" s="65"/>
      <c r="J8" s="66"/>
    </row>
    <row r="9" spans="1:10" x14ac:dyDescent="0.2">
      <c r="A9" s="38"/>
      <c r="B9" s="46"/>
      <c r="C9" s="47"/>
      <c r="D9" s="47"/>
      <c r="E9" s="47"/>
      <c r="F9" s="47"/>
      <c r="G9" s="48"/>
      <c r="H9" s="64"/>
      <c r="I9" s="65"/>
      <c r="J9" s="66"/>
    </row>
    <row r="10" spans="1:10" x14ac:dyDescent="0.2">
      <c r="A10" s="39"/>
      <c r="B10" s="49"/>
      <c r="C10" s="50"/>
      <c r="D10" s="50"/>
      <c r="E10" s="50"/>
      <c r="F10" s="50"/>
      <c r="G10" s="51"/>
      <c r="H10" s="64"/>
      <c r="I10" s="65"/>
      <c r="J10" s="66"/>
    </row>
    <row r="11" spans="1:10" x14ac:dyDescent="0.2">
      <c r="A11" s="23" t="s">
        <v>68</v>
      </c>
      <c r="B11" s="58" t="s">
        <v>14</v>
      </c>
      <c r="C11" s="59"/>
      <c r="D11" s="59"/>
      <c r="E11" s="59"/>
      <c r="F11" s="59"/>
      <c r="G11" s="60"/>
      <c r="H11" s="67"/>
      <c r="I11" s="68"/>
      <c r="J11" s="69"/>
    </row>
    <row r="12" spans="1:10" x14ac:dyDescent="0.2">
      <c r="A12" s="25" t="s">
        <v>69</v>
      </c>
      <c r="B12" s="58" t="s">
        <v>39</v>
      </c>
      <c r="C12" s="59"/>
      <c r="D12" s="59"/>
      <c r="E12" s="59"/>
      <c r="F12" s="59"/>
      <c r="G12" s="60"/>
      <c r="H12" s="71" t="s">
        <v>66</v>
      </c>
      <c r="I12" s="72"/>
      <c r="J12" s="73"/>
    </row>
    <row r="13" spans="1:10" x14ac:dyDescent="0.2">
      <c r="A13" s="25" t="s">
        <v>70</v>
      </c>
      <c r="B13" s="58" t="s">
        <v>109</v>
      </c>
      <c r="C13" s="59"/>
      <c r="D13" s="59"/>
      <c r="E13" s="59"/>
      <c r="F13" s="59"/>
      <c r="G13" s="60"/>
      <c r="H13" s="74"/>
      <c r="I13" s="75"/>
      <c r="J13" s="76"/>
    </row>
    <row r="14" spans="1:10" x14ac:dyDescent="0.2">
      <c r="A14" s="25" t="s">
        <v>71</v>
      </c>
      <c r="B14" s="58" t="s">
        <v>104</v>
      </c>
      <c r="C14" s="59"/>
      <c r="D14" s="59"/>
      <c r="E14" s="59"/>
      <c r="F14" s="59"/>
      <c r="G14" s="60"/>
      <c r="H14" s="77"/>
      <c r="I14" s="78"/>
      <c r="J14" s="79"/>
    </row>
    <row r="15" spans="1:10" x14ac:dyDescent="0.2">
      <c r="A15" s="1"/>
      <c r="B15" s="3"/>
      <c r="C15" s="1"/>
      <c r="D15" s="1"/>
      <c r="E15" s="1"/>
      <c r="F15" s="1"/>
      <c r="G15" s="1"/>
      <c r="H15" s="1"/>
      <c r="I15" s="1"/>
      <c r="J15" s="1"/>
    </row>
    <row r="16" spans="1:10" x14ac:dyDescent="0.2">
      <c r="A16" s="26" t="s">
        <v>0</v>
      </c>
      <c r="B16" s="26" t="s">
        <v>1</v>
      </c>
      <c r="C16" s="56" t="s">
        <v>2</v>
      </c>
      <c r="D16" s="57"/>
      <c r="E16" s="56" t="s">
        <v>3</v>
      </c>
      <c r="F16" s="70"/>
      <c r="G16" s="57"/>
      <c r="H16" s="56" t="s">
        <v>4</v>
      </c>
      <c r="I16" s="57"/>
      <c r="J16" s="26" t="s">
        <v>5</v>
      </c>
    </row>
    <row r="17" spans="1:12" ht="40.75" customHeight="1" x14ac:dyDescent="0.2">
      <c r="A17" s="22">
        <v>84101500</v>
      </c>
      <c r="B17" s="19">
        <v>1</v>
      </c>
      <c r="C17" s="30" t="s">
        <v>114</v>
      </c>
      <c r="D17" s="31"/>
      <c r="E17" s="34" t="s">
        <v>115</v>
      </c>
      <c r="F17" s="35"/>
      <c r="G17" s="36"/>
      <c r="H17" s="28">
        <v>22500</v>
      </c>
      <c r="I17" s="29"/>
      <c r="J17" s="21">
        <f t="shared" ref="J17:J19" si="0">B17*H17</f>
        <v>22500</v>
      </c>
    </row>
    <row r="18" spans="1:12" ht="14.5" customHeight="1" x14ac:dyDescent="0.2">
      <c r="A18" s="18"/>
      <c r="B18" s="19"/>
      <c r="C18" s="30"/>
      <c r="D18" s="31"/>
      <c r="E18" s="34"/>
      <c r="F18" s="35"/>
      <c r="G18" s="36"/>
      <c r="H18" s="28"/>
      <c r="I18" s="29"/>
      <c r="J18" s="21">
        <f t="shared" si="0"/>
        <v>0</v>
      </c>
    </row>
    <row r="19" spans="1:12" ht="14.5" customHeight="1" x14ac:dyDescent="0.2">
      <c r="A19" s="18"/>
      <c r="B19" s="19"/>
      <c r="C19" s="30"/>
      <c r="D19" s="31"/>
      <c r="E19" s="34"/>
      <c r="F19" s="35"/>
      <c r="G19" s="36"/>
      <c r="H19" s="28"/>
      <c r="I19" s="29"/>
      <c r="J19" s="21">
        <f t="shared" si="0"/>
        <v>0</v>
      </c>
    </row>
    <row r="20" spans="1:12" x14ac:dyDescent="0.2">
      <c r="A20" s="1"/>
      <c r="B20" s="1"/>
      <c r="C20" s="52"/>
      <c r="D20" s="52"/>
      <c r="E20" s="52"/>
      <c r="F20" s="52"/>
      <c r="G20" s="52"/>
      <c r="H20" s="52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4" t="s">
        <v>6</v>
      </c>
      <c r="J21" s="5">
        <f>SUM(J17:J20)</f>
        <v>22500</v>
      </c>
      <c r="K21" s="16"/>
      <c r="L21" s="17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6" t="s">
        <v>74</v>
      </c>
      <c r="J22" s="7">
        <f>J21*0.16</f>
        <v>3600</v>
      </c>
      <c r="L22" s="20"/>
    </row>
    <row r="23" spans="1:12" x14ac:dyDescent="0.2">
      <c r="A23" s="10" t="s">
        <v>85</v>
      </c>
      <c r="B23" s="11"/>
      <c r="C23" s="11"/>
      <c r="D23" s="11"/>
      <c r="E23" s="12"/>
      <c r="F23" s="1"/>
      <c r="G23" s="1"/>
      <c r="H23" s="1"/>
      <c r="I23" s="2" t="s">
        <v>5</v>
      </c>
      <c r="J23" s="8">
        <f>J21+J22</f>
        <v>26100</v>
      </c>
    </row>
    <row r="24" spans="1:12" x14ac:dyDescent="0.2">
      <c r="A24" s="15" t="s">
        <v>86</v>
      </c>
      <c r="B24" s="13"/>
      <c r="C24" s="13"/>
      <c r="D24" s="13"/>
      <c r="E24" s="14"/>
      <c r="F24" s="9"/>
      <c r="G24" s="9"/>
      <c r="H24" s="1"/>
      <c r="I24" s="1"/>
      <c r="J24" s="1"/>
    </row>
  </sheetData>
  <mergeCells count="25">
    <mergeCell ref="C20:H20"/>
    <mergeCell ref="B6:J6"/>
    <mergeCell ref="C16:D16"/>
    <mergeCell ref="H16:I16"/>
    <mergeCell ref="B12:G12"/>
    <mergeCell ref="B13:G13"/>
    <mergeCell ref="B14:G14"/>
    <mergeCell ref="H7:J11"/>
    <mergeCell ref="E16:G16"/>
    <mergeCell ref="B11:G11"/>
    <mergeCell ref="H12:J14"/>
    <mergeCell ref="E19:G19"/>
    <mergeCell ref="A8:A10"/>
    <mergeCell ref="B7:G7"/>
    <mergeCell ref="B8:G10"/>
    <mergeCell ref="C17:D17"/>
    <mergeCell ref="H17:I17"/>
    <mergeCell ref="E17:G17"/>
    <mergeCell ref="H19:I19"/>
    <mergeCell ref="C19:D19"/>
    <mergeCell ref="B4:E4"/>
    <mergeCell ref="H4:J4"/>
    <mergeCell ref="C18:D18"/>
    <mergeCell ref="E18:G18"/>
    <mergeCell ref="H18:I18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4:G14" xr:uid="{00000000-0002-0000-0000-000004000000}">
      <formula1>INDIRECT(++$B$13)</formula1>
    </dataValidation>
  </dataValidations>
  <hyperlinks>
    <hyperlink ref="A24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B12:G12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B11:G11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B13:G13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M10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5" x14ac:dyDescent="0.2"/>
  <cols>
    <col min="1" max="1" width="39.5" customWidth="1"/>
    <col min="3" max="3" width="56.1640625" bestFit="1" customWidth="1"/>
    <col min="5" max="5" width="33.83203125" bestFit="1" customWidth="1"/>
    <col min="7" max="7" width="87.83203125" bestFit="1" customWidth="1"/>
  </cols>
  <sheetData>
    <row r="1" spans="1:7" x14ac:dyDescent="0.2">
      <c r="A1" t="s">
        <v>13</v>
      </c>
      <c r="C1" t="s">
        <v>48</v>
      </c>
      <c r="E1" t="s">
        <v>2</v>
      </c>
      <c r="G1" t="s">
        <v>37</v>
      </c>
    </row>
    <row r="2" spans="1:7" x14ac:dyDescent="0.2">
      <c r="A2" t="s">
        <v>12</v>
      </c>
      <c r="C2" t="s">
        <v>38</v>
      </c>
      <c r="E2" t="s">
        <v>49</v>
      </c>
      <c r="G2" t="s">
        <v>14</v>
      </c>
    </row>
    <row r="3" spans="1:7" x14ac:dyDescent="0.2">
      <c r="A3" t="s">
        <v>75</v>
      </c>
      <c r="C3" t="s">
        <v>39</v>
      </c>
      <c r="E3" t="s">
        <v>50</v>
      </c>
      <c r="G3" t="s">
        <v>15</v>
      </c>
    </row>
    <row r="4" spans="1:7" x14ac:dyDescent="0.2">
      <c r="C4" t="s">
        <v>40</v>
      </c>
      <c r="E4" t="s">
        <v>58</v>
      </c>
      <c r="G4" t="s">
        <v>16</v>
      </c>
    </row>
    <row r="5" spans="1:7" x14ac:dyDescent="0.2">
      <c r="A5" t="s">
        <v>10</v>
      </c>
      <c r="C5" t="s">
        <v>41</v>
      </c>
      <c r="E5" t="s">
        <v>51</v>
      </c>
      <c r="G5" t="s">
        <v>18</v>
      </c>
    </row>
    <row r="6" spans="1:7" x14ac:dyDescent="0.2">
      <c r="A6" t="s">
        <v>78</v>
      </c>
      <c r="C6" t="s">
        <v>42</v>
      </c>
      <c r="E6" t="s">
        <v>52</v>
      </c>
      <c r="G6" t="s">
        <v>17</v>
      </c>
    </row>
    <row r="7" spans="1:7" x14ac:dyDescent="0.2">
      <c r="A7" t="s">
        <v>11</v>
      </c>
      <c r="C7" t="s">
        <v>43</v>
      </c>
      <c r="E7" t="s">
        <v>53</v>
      </c>
      <c r="G7" t="s">
        <v>19</v>
      </c>
    </row>
    <row r="8" spans="1:7" x14ac:dyDescent="0.2">
      <c r="A8" t="s">
        <v>93</v>
      </c>
      <c r="C8" t="s">
        <v>44</v>
      </c>
      <c r="E8" t="s">
        <v>54</v>
      </c>
      <c r="G8" t="s">
        <v>20</v>
      </c>
    </row>
    <row r="9" spans="1:7" x14ac:dyDescent="0.2">
      <c r="A9" t="s">
        <v>77</v>
      </c>
      <c r="C9" t="s">
        <v>45</v>
      </c>
      <c r="E9" t="s">
        <v>55</v>
      </c>
      <c r="G9" t="s">
        <v>21</v>
      </c>
    </row>
    <row r="10" spans="1:7" x14ac:dyDescent="0.2">
      <c r="A10" t="s">
        <v>87</v>
      </c>
      <c r="C10" t="s">
        <v>46</v>
      </c>
      <c r="E10" t="s">
        <v>56</v>
      </c>
      <c r="G10" t="s">
        <v>22</v>
      </c>
    </row>
    <row r="11" spans="1:7" x14ac:dyDescent="0.2">
      <c r="A11" t="s">
        <v>88</v>
      </c>
      <c r="C11" t="s">
        <v>47</v>
      </c>
      <c r="E11" t="s">
        <v>57</v>
      </c>
      <c r="G11" t="s">
        <v>23</v>
      </c>
    </row>
    <row r="12" spans="1:7" x14ac:dyDescent="0.2">
      <c r="A12" t="s">
        <v>90</v>
      </c>
      <c r="E12" t="s">
        <v>59</v>
      </c>
      <c r="G12" t="s">
        <v>24</v>
      </c>
    </row>
    <row r="13" spans="1:7" x14ac:dyDescent="0.2">
      <c r="A13" t="s">
        <v>91</v>
      </c>
      <c r="E13" t="s">
        <v>60</v>
      </c>
      <c r="G13" t="s">
        <v>25</v>
      </c>
    </row>
    <row r="14" spans="1:7" x14ac:dyDescent="0.2">
      <c r="A14" t="s">
        <v>92</v>
      </c>
      <c r="E14" t="s">
        <v>61</v>
      </c>
      <c r="G14" t="s">
        <v>26</v>
      </c>
    </row>
    <row r="15" spans="1:7" x14ac:dyDescent="0.2">
      <c r="A15" t="s">
        <v>97</v>
      </c>
      <c r="E15" t="s">
        <v>62</v>
      </c>
      <c r="G15" t="s">
        <v>27</v>
      </c>
    </row>
    <row r="16" spans="1:7" x14ac:dyDescent="0.2">
      <c r="A16" t="s">
        <v>98</v>
      </c>
      <c r="E16" t="s">
        <v>63</v>
      </c>
      <c r="G16" t="s">
        <v>28</v>
      </c>
    </row>
    <row r="17" spans="1:7" x14ac:dyDescent="0.2">
      <c r="A17" t="s">
        <v>99</v>
      </c>
      <c r="E17" t="s">
        <v>64</v>
      </c>
      <c r="G17" t="s">
        <v>29</v>
      </c>
    </row>
    <row r="18" spans="1:7" x14ac:dyDescent="0.2">
      <c r="A18" t="s">
        <v>100</v>
      </c>
      <c r="E18" t="s">
        <v>65</v>
      </c>
      <c r="G18" t="s">
        <v>30</v>
      </c>
    </row>
    <row r="19" spans="1:7" x14ac:dyDescent="0.2">
      <c r="A19" t="s">
        <v>101</v>
      </c>
      <c r="E19" t="s">
        <v>81</v>
      </c>
      <c r="G19" t="s">
        <v>31</v>
      </c>
    </row>
    <row r="20" spans="1:7" x14ac:dyDescent="0.2">
      <c r="A20" t="s">
        <v>102</v>
      </c>
      <c r="E20" t="s">
        <v>76</v>
      </c>
      <c r="G20" t="s">
        <v>32</v>
      </c>
    </row>
    <row r="21" spans="1:7" x14ac:dyDescent="0.2">
      <c r="A21" t="s">
        <v>103</v>
      </c>
      <c r="E21" t="s">
        <v>79</v>
      </c>
      <c r="G21" t="s">
        <v>33</v>
      </c>
    </row>
    <row r="22" spans="1:7" x14ac:dyDescent="0.2">
      <c r="A22" t="s">
        <v>110</v>
      </c>
      <c r="E22" t="s">
        <v>80</v>
      </c>
      <c r="G22" t="s">
        <v>34</v>
      </c>
    </row>
    <row r="23" spans="1:7" x14ac:dyDescent="0.2">
      <c r="E23" t="s">
        <v>82</v>
      </c>
      <c r="G23" t="s">
        <v>35</v>
      </c>
    </row>
    <row r="24" spans="1:7" x14ac:dyDescent="0.2">
      <c r="E24" t="s">
        <v>83</v>
      </c>
      <c r="G24" t="s">
        <v>36</v>
      </c>
    </row>
    <row r="25" spans="1:7" x14ac:dyDescent="0.2">
      <c r="E25" t="s">
        <v>84</v>
      </c>
    </row>
    <row r="26" spans="1:7" x14ac:dyDescent="0.2">
      <c r="E26" t="s">
        <v>94</v>
      </c>
    </row>
    <row r="27" spans="1:7" x14ac:dyDescent="0.2">
      <c r="E27" t="s">
        <v>95</v>
      </c>
    </row>
    <row r="28" spans="1:7" x14ac:dyDescent="0.2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5" x14ac:dyDescent="0.2"/>
  <cols>
    <col min="1" max="1" width="15.5" customWidth="1"/>
    <col min="2" max="2" width="14.5" customWidth="1"/>
    <col min="3" max="3" width="21.5" customWidth="1"/>
    <col min="4" max="4" width="18.83203125" customWidth="1"/>
  </cols>
  <sheetData>
    <row r="1" spans="1:4" x14ac:dyDescent="0.2">
      <c r="A1" t="s">
        <v>106</v>
      </c>
      <c r="B1" t="s">
        <v>107</v>
      </c>
      <c r="C1" t="s">
        <v>109</v>
      </c>
      <c r="D1" t="s">
        <v>108</v>
      </c>
    </row>
    <row r="2" spans="1:4" x14ac:dyDescent="0.2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MVC CESMA Financiera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cp:lastPrinted>2024-06-06T23:59:04Z</cp:lastPrinted>
  <dcterms:created xsi:type="dcterms:W3CDTF">2017-12-04T17:48:14Z</dcterms:created>
  <dcterms:modified xsi:type="dcterms:W3CDTF">2026-01-20T21:10:26Z</dcterms:modified>
</cp:coreProperties>
</file>