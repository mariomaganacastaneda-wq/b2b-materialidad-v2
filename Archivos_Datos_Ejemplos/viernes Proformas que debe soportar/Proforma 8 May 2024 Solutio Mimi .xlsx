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ardo/Documents/Proye China y California/"/>
    </mc:Choice>
  </mc:AlternateContent>
  <xr:revisionPtr revIDLastSave="0" documentId="13_ncr:1_{C38123A7-A959-DA4E-9B42-49AD766963E0}" xr6:coauthVersionLast="47" xr6:coauthVersionMax="47" xr10:uidLastSave="{00000000-0000-0000-0000-000000000000}"/>
  <bookViews>
    <workbookView xWindow="6500" yWindow="560" windowWidth="22300" windowHeight="15000" xr2:uid="{00000000-000D-0000-FFFF-FFFF00000000}"/>
  </bookViews>
  <sheets>
    <sheet name="Mimi para china 26 Mar 24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E13" i="1"/>
  <c r="G13" i="1"/>
  <c r="H13" i="1" s="1"/>
  <c r="I13" i="1" s="1"/>
</calcChain>
</file>

<file path=xl/sharedStrings.xml><?xml version="1.0" encoding="utf-8"?>
<sst xmlns="http://schemas.openxmlformats.org/spreadsheetml/2006/main" count="28" uniqueCount="27">
  <si>
    <t>FACTURAR CON SEIDCO</t>
  </si>
  <si>
    <t>CONCEPTO</t>
  </si>
  <si>
    <t>SUBTOTAL</t>
  </si>
  <si>
    <t>IVA</t>
  </si>
  <si>
    <t>FACTURA 1</t>
  </si>
  <si>
    <t>RFC:</t>
  </si>
  <si>
    <t>Cliente:</t>
  </si>
  <si>
    <t>Fecha:</t>
  </si>
  <si>
    <t>Solicitado por</t>
  </si>
  <si>
    <t>UsoCFDI</t>
  </si>
  <si>
    <t>G03</t>
  </si>
  <si>
    <t>GASTOS EN GENERAL</t>
  </si>
  <si>
    <t>Forma de Pago</t>
  </si>
  <si>
    <t>CANTIDAD</t>
  </si>
  <si>
    <t>PRECIO</t>
  </si>
  <si>
    <t xml:space="preserve">FECHA PROBABLE DE PAGO </t>
  </si>
  <si>
    <t>RFC</t>
  </si>
  <si>
    <t>DSE2010201T5</t>
  </si>
  <si>
    <t>PUE</t>
  </si>
  <si>
    <t>CLAVE de servicio o pructo</t>
  </si>
  <si>
    <t>DAMO SOLUCIONES EN EMPAQUE Y EMBALAJE S.A. DE C.V</t>
  </si>
  <si>
    <t>Facturar :</t>
  </si>
  <si>
    <t>Ricardo Medina Gallardo</t>
  </si>
  <si>
    <t>SOLICITUD DE 1  FACTURA</t>
  </si>
  <si>
    <t>TOTAL PESOS</t>
  </si>
  <si>
    <t>SOLUTION MIMI SA DE CV</t>
  </si>
  <si>
    <t>servicio de soporte técnico 7 x 24 para impresora incluyendo refacciones (2 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</si>
</sst>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\-\ mmm\ \-yy"/>
    <numFmt numFmtId="166" formatCode="_-[$$]* #,##0.00_-;\-[$$]* #,##0.00_-;_-[$$]* &quot;-&quot;??_-;_-@_-" x16r2:formatCode16="_-[$$-es-USD]* #,##0.00_-;\-[$$-es-USD]* #,##0.00_-;_-[$$-es-USD]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rgb="FF222222"/>
      <name val="Arial"/>
      <family val="2"/>
    </font>
    <font>
      <b/>
      <sz val="13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Helvetica"/>
      <family val="2"/>
    </font>
    <font>
      <sz val="16"/>
      <color rgb="FF333333"/>
      <name val="Helvetica Neue"/>
      <family val="2"/>
    </font>
    <font>
      <b/>
      <sz val="18"/>
      <color theme="1"/>
      <name val="Calibri"/>
      <family val="2"/>
      <scheme val="minor"/>
    </font>
    <font>
      <b/>
      <sz val="18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7" xfId="0" applyBorder="1"/>
    <xf numFmtId="164" fontId="0" fillId="0" borderId="7" xfId="1" applyFont="1" applyBorder="1"/>
    <xf numFmtId="164" fontId="0" fillId="0" borderId="8" xfId="1" applyFont="1" applyBorder="1"/>
    <xf numFmtId="164" fontId="0" fillId="0" borderId="10" xfId="1" applyFont="1" applyBorder="1"/>
    <xf numFmtId="0" fontId="3" fillId="0" borderId="11" xfId="0" applyFont="1" applyBorder="1"/>
    <xf numFmtId="0" fontId="5" fillId="0" borderId="12" xfId="0" applyFont="1" applyBorder="1"/>
    <xf numFmtId="0" fontId="3" fillId="2" borderId="13" xfId="0" applyFont="1" applyFill="1" applyBorder="1"/>
    <xf numFmtId="15" fontId="6" fillId="2" borderId="13" xfId="0" applyNumberFormat="1" applyFont="1" applyFill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15" fontId="6" fillId="2" borderId="16" xfId="0" applyNumberFormat="1" applyFont="1" applyFill="1" applyBorder="1" applyAlignment="1">
      <alignment horizontal="center"/>
    </xf>
    <xf numFmtId="0" fontId="6" fillId="0" borderId="17" xfId="0" applyFont="1" applyBorder="1"/>
    <xf numFmtId="0" fontId="3" fillId="2" borderId="11" xfId="0" applyFont="1" applyFill="1" applyBorder="1"/>
    <xf numFmtId="0" fontId="6" fillId="2" borderId="17" xfId="0" applyFont="1" applyFill="1" applyBorder="1"/>
    <xf numFmtId="0" fontId="3" fillId="2" borderId="17" xfId="0" applyFont="1" applyFill="1" applyBorder="1"/>
    <xf numFmtId="15" fontId="6" fillId="2" borderId="18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4" fontId="0" fillId="0" borderId="0" xfId="0" applyNumberFormat="1"/>
    <xf numFmtId="0" fontId="4" fillId="3" borderId="0" xfId="0" applyFont="1" applyFill="1" applyAlignment="1">
      <alignment horizontal="center"/>
    </xf>
    <xf numFmtId="165" fontId="6" fillId="2" borderId="16" xfId="0" applyNumberFormat="1" applyFont="1" applyFill="1" applyBorder="1" applyAlignment="1">
      <alignment horizontal="center"/>
    </xf>
    <xf numFmtId="0" fontId="0" fillId="0" borderId="19" xfId="0" applyBorder="1"/>
    <xf numFmtId="164" fontId="0" fillId="0" borderId="19" xfId="1" applyFont="1" applyBorder="1"/>
    <xf numFmtId="0" fontId="3" fillId="2" borderId="15" xfId="0" applyFont="1" applyFill="1" applyBorder="1"/>
    <xf numFmtId="0" fontId="5" fillId="0" borderId="11" xfId="0" applyFont="1" applyBorder="1"/>
    <xf numFmtId="0" fontId="7" fillId="0" borderId="20" xfId="0" applyFont="1" applyBorder="1" applyAlignment="1">
      <alignment horizontal="center"/>
    </xf>
    <xf numFmtId="164" fontId="0" fillId="0" borderId="21" xfId="1" applyFont="1" applyBorder="1"/>
    <xf numFmtId="164" fontId="0" fillId="0" borderId="22" xfId="1" applyFont="1" applyBorder="1"/>
    <xf numFmtId="0" fontId="0" fillId="0" borderId="15" xfId="0" applyBorder="1"/>
    <xf numFmtId="0" fontId="3" fillId="0" borderId="17" xfId="0" applyFont="1" applyBorder="1"/>
    <xf numFmtId="15" fontId="6" fillId="0" borderId="18" xfId="0" applyNumberFormat="1" applyFont="1" applyBorder="1" applyAlignment="1">
      <alignment horizontal="center"/>
    </xf>
    <xf numFmtId="0" fontId="0" fillId="0" borderId="22" xfId="0" applyBorder="1" applyAlignment="1">
      <alignment wrapText="1"/>
    </xf>
    <xf numFmtId="0" fontId="0" fillId="0" borderId="19" xfId="0" applyBorder="1" applyAlignment="1">
      <alignment wrapText="1"/>
    </xf>
    <xf numFmtId="0" fontId="8" fillId="0" borderId="0" xfId="0" applyFont="1" applyAlignment="1">
      <alignment horizontal="center"/>
    </xf>
    <xf numFmtId="0" fontId="5" fillId="0" borderId="15" xfId="0" applyFont="1" applyBorder="1" applyAlignment="1">
      <alignment horizontal="right"/>
    </xf>
    <xf numFmtId="0" fontId="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2" xfId="0" applyBorder="1" applyAlignment="1">
      <alignment vertical="center" wrapText="1"/>
    </xf>
    <xf numFmtId="164" fontId="0" fillId="0" borderId="2" xfId="1" applyFont="1" applyBorder="1" applyAlignment="1">
      <alignment vertical="center"/>
    </xf>
    <xf numFmtId="164" fontId="0" fillId="0" borderId="5" xfId="1" applyFont="1" applyBorder="1" applyAlignment="1">
      <alignment vertical="center"/>
    </xf>
    <xf numFmtId="0" fontId="0" fillId="0" borderId="0" xfId="0" applyAlignment="1">
      <alignment vertical="center"/>
    </xf>
    <xf numFmtId="166" fontId="0" fillId="0" borderId="2" xfId="1" applyNumberFormat="1" applyFont="1" applyBorder="1" applyAlignment="1">
      <alignment vertical="center"/>
    </xf>
    <xf numFmtId="0" fontId="0" fillId="0" borderId="0" xfId="0" applyAlignment="1">
      <alignment horizontal="right"/>
    </xf>
    <xf numFmtId="164" fontId="2" fillId="0" borderId="0" xfId="1" applyFont="1"/>
    <xf numFmtId="164" fontId="2" fillId="4" borderId="1" xfId="1" applyFont="1" applyFill="1" applyBorder="1" applyAlignment="1">
      <alignment horizontal="center" vertical="center"/>
    </xf>
    <xf numFmtId="164" fontId="2" fillId="4" borderId="1" xfId="1" applyFont="1" applyFill="1" applyBorder="1" applyAlignment="1">
      <alignment horizontal="center" vertical="center" wrapText="1"/>
    </xf>
    <xf numFmtId="164" fontId="2" fillId="4" borderId="2" xfId="1" applyFont="1" applyFill="1" applyBorder="1" applyAlignment="1">
      <alignment horizontal="center" vertical="center"/>
    </xf>
    <xf numFmtId="164" fontId="2" fillId="4" borderId="3" xfId="1" applyFont="1" applyFill="1" applyBorder="1" applyAlignment="1">
      <alignment horizontal="center" vertical="center"/>
    </xf>
    <xf numFmtId="0" fontId="11" fillId="0" borderId="0" xfId="0" applyFont="1"/>
    <xf numFmtId="0" fontId="12" fillId="0" borderId="12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25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26" xfId="0" applyFont="1" applyBorder="1" applyAlignment="1">
      <alignment horizontal="center" wrapText="1"/>
    </xf>
    <xf numFmtId="0" fontId="0" fillId="0" borderId="0" xfId="0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"/>
  <sheetViews>
    <sheetView tabSelected="1" zoomScale="86" workbookViewId="0">
      <selection activeCell="B2" sqref="B2:I15"/>
    </sheetView>
  </sheetViews>
  <sheetFormatPr baseColWidth="10" defaultRowHeight="15" x14ac:dyDescent="0.2"/>
  <cols>
    <col min="1" max="1" width="2.33203125" customWidth="1"/>
    <col min="2" max="2" width="19.5" customWidth="1"/>
    <col min="3" max="3" width="13.33203125" customWidth="1"/>
    <col min="4" max="4" width="14.33203125" customWidth="1"/>
    <col min="5" max="5" width="17.33203125" customWidth="1"/>
    <col min="6" max="6" width="36.5" customWidth="1"/>
    <col min="7" max="7" width="13.83203125" customWidth="1"/>
    <col min="8" max="8" width="15.5" customWidth="1"/>
    <col min="10" max="10" width="5.6640625" bestFit="1" customWidth="1"/>
  </cols>
  <sheetData>
    <row r="1" spans="2:9" ht="16" thickBot="1" x14ac:dyDescent="0.25">
      <c r="C1" s="29"/>
      <c r="D1" s="29"/>
    </row>
    <row r="2" spans="2:9" ht="25" thickBot="1" x14ac:dyDescent="0.35">
      <c r="B2" s="5" t="s">
        <v>21</v>
      </c>
      <c r="C2" s="55" t="s">
        <v>25</v>
      </c>
      <c r="D2" s="55"/>
      <c r="E2" s="56"/>
      <c r="F2" s="6"/>
      <c r="G2" s="5" t="s">
        <v>5</v>
      </c>
      <c r="H2" s="25" t="s">
        <v>17</v>
      </c>
    </row>
    <row r="3" spans="2:9" ht="32" customHeight="1" thickBot="1" x14ac:dyDescent="0.25">
      <c r="B3" s="7" t="s">
        <v>6</v>
      </c>
      <c r="C3" s="61" t="s">
        <v>20</v>
      </c>
      <c r="D3" s="62"/>
      <c r="E3" s="63"/>
      <c r="F3" s="6"/>
      <c r="G3" s="13" t="s">
        <v>7</v>
      </c>
      <c r="H3" s="8">
        <v>45054</v>
      </c>
    </row>
    <row r="4" spans="2:9" ht="18" thickBot="1" x14ac:dyDescent="0.25">
      <c r="B4" s="7" t="s">
        <v>8</v>
      </c>
      <c r="C4" s="9" t="s">
        <v>22</v>
      </c>
      <c r="D4" s="10"/>
      <c r="E4" s="10"/>
      <c r="F4" s="10"/>
      <c r="G4" s="24"/>
      <c r="H4" s="11"/>
    </row>
    <row r="5" spans="2:9" ht="18" thickBot="1" x14ac:dyDescent="0.25">
      <c r="B5" s="7" t="s">
        <v>16</v>
      </c>
      <c r="C5" s="59" t="s">
        <v>17</v>
      </c>
      <c r="D5" s="60"/>
      <c r="E5" s="10"/>
      <c r="G5" s="35" t="s">
        <v>15</v>
      </c>
      <c r="H5" s="21">
        <f>H3</f>
        <v>45054</v>
      </c>
    </row>
    <row r="6" spans="2:9" ht="18" thickBot="1" x14ac:dyDescent="0.25">
      <c r="B6" s="7"/>
      <c r="C6" s="9"/>
      <c r="D6" s="10"/>
      <c r="E6" s="10"/>
      <c r="F6" s="10"/>
      <c r="G6" s="24"/>
      <c r="H6" s="11"/>
    </row>
    <row r="7" spans="2:9" ht="18" thickBot="1" x14ac:dyDescent="0.25">
      <c r="B7" s="7"/>
      <c r="C7" s="57"/>
      <c r="D7" s="58"/>
      <c r="E7" s="58"/>
      <c r="F7" s="58"/>
      <c r="G7" s="58"/>
      <c r="H7" s="11"/>
    </row>
    <row r="8" spans="2:9" ht="18" thickBot="1" x14ac:dyDescent="0.25">
      <c r="B8" s="7" t="s">
        <v>9</v>
      </c>
      <c r="C8" s="12" t="s">
        <v>10</v>
      </c>
      <c r="D8" s="12"/>
      <c r="E8" s="12" t="s">
        <v>11</v>
      </c>
      <c r="F8" s="12"/>
      <c r="G8" s="30"/>
      <c r="H8" s="31"/>
    </row>
    <row r="9" spans="2:9" ht="18" thickBot="1" x14ac:dyDescent="0.25">
      <c r="B9" s="13" t="s">
        <v>12</v>
      </c>
      <c r="C9" s="14" t="s">
        <v>18</v>
      </c>
      <c r="D9" s="14"/>
      <c r="E9" s="14"/>
      <c r="F9" s="14"/>
      <c r="G9" s="15"/>
      <c r="H9" s="16"/>
    </row>
    <row r="10" spans="2:9" ht="16" x14ac:dyDescent="0.2">
      <c r="E10" s="34"/>
    </row>
    <row r="11" spans="2:9" ht="22" thickBot="1" x14ac:dyDescent="0.3">
      <c r="F11" s="20" t="s">
        <v>23</v>
      </c>
    </row>
    <row r="12" spans="2:9" s="42" customFormat="1" ht="49" thickBot="1" x14ac:dyDescent="0.25">
      <c r="B12" s="51" t="s">
        <v>0</v>
      </c>
      <c r="C12" s="52" t="s">
        <v>19</v>
      </c>
      <c r="D12" s="51" t="s">
        <v>13</v>
      </c>
      <c r="E12" s="51" t="s">
        <v>14</v>
      </c>
      <c r="F12" s="53" t="s">
        <v>1</v>
      </c>
      <c r="G12" s="53" t="s">
        <v>2</v>
      </c>
      <c r="H12" s="53" t="s">
        <v>3</v>
      </c>
      <c r="I12" s="54" t="s">
        <v>24</v>
      </c>
    </row>
    <row r="13" spans="2:9" s="47" customFormat="1" ht="48" customHeight="1" x14ac:dyDescent="0.2">
      <c r="B13" s="36" t="s">
        <v>4</v>
      </c>
      <c r="C13" s="43">
        <v>80141623</v>
      </c>
      <c r="D13" s="37">
        <v>2</v>
      </c>
      <c r="E13" s="38">
        <f>154197.61/2</f>
        <v>77098.804999999993</v>
      </c>
      <c r="F13" s="44" t="s">
        <v>26</v>
      </c>
      <c r="G13" s="48">
        <f>E13*D13</f>
        <v>154197.60999999999</v>
      </c>
      <c r="H13" s="45">
        <f>G13*0.16</f>
        <v>24671.617599999998</v>
      </c>
      <c r="I13" s="46">
        <f>H13+G13</f>
        <v>178869.22759999998</v>
      </c>
    </row>
    <row r="14" spans="2:9" ht="19" x14ac:dyDescent="0.25">
      <c r="B14" s="17"/>
      <c r="C14" s="39"/>
      <c r="D14" s="1"/>
      <c r="E14" s="2"/>
      <c r="F14" s="1"/>
      <c r="G14" s="2"/>
      <c r="H14" s="2"/>
      <c r="I14" s="3"/>
    </row>
    <row r="15" spans="2:9" ht="19" x14ac:dyDescent="0.25">
      <c r="B15" s="26"/>
      <c r="C15" s="40"/>
      <c r="D15" s="1"/>
      <c r="E15" s="2"/>
      <c r="F15" s="1"/>
      <c r="G15" s="2"/>
      <c r="H15" s="2"/>
      <c r="I15" s="27"/>
    </row>
    <row r="16" spans="2:9" ht="19" x14ac:dyDescent="0.25">
      <c r="B16" s="26"/>
      <c r="C16" s="40"/>
      <c r="D16" s="1"/>
      <c r="E16" s="2"/>
      <c r="F16" s="32"/>
      <c r="G16" s="28"/>
      <c r="H16" s="28"/>
      <c r="I16" s="27"/>
    </row>
    <row r="17" spans="2:10" ht="20" thickBot="1" x14ac:dyDescent="0.3">
      <c r="B17" s="18"/>
      <c r="C17" s="41"/>
      <c r="D17" s="22"/>
      <c r="E17" s="22"/>
      <c r="F17" s="33"/>
      <c r="G17" s="22"/>
      <c r="H17" s="23"/>
      <c r="I17" s="4"/>
    </row>
    <row r="19" spans="2:10" x14ac:dyDescent="0.2">
      <c r="F19" s="64"/>
      <c r="G19" s="64"/>
      <c r="H19" s="64"/>
      <c r="I19" s="19"/>
      <c r="J19" s="19"/>
    </row>
    <row r="21" spans="2:10" x14ac:dyDescent="0.2">
      <c r="H21" s="49"/>
      <c r="I21" s="50"/>
    </row>
  </sheetData>
  <mergeCells count="4">
    <mergeCell ref="C7:G7"/>
    <mergeCell ref="C5:D5"/>
    <mergeCell ref="C3:E3"/>
    <mergeCell ref="F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Mimi para china 26 Mar 24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Microsoft Office User</cp:lastModifiedBy>
  <dcterms:created xsi:type="dcterms:W3CDTF">2022-05-16T20:23:28Z</dcterms:created>
  <dcterms:modified xsi:type="dcterms:W3CDTF">2024-05-08T21:03:12Z</dcterms:modified>
</cp:coreProperties>
</file>