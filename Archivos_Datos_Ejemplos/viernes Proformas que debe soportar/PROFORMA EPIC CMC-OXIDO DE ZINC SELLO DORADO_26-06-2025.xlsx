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autoCompressPictures="0"/>
  <mc:AlternateContent xmlns:mc="http://schemas.openxmlformats.org/markup-compatibility/2006">
    <mc:Choice Requires="x15">
      <x15ac:absPath xmlns:x15ac="http://schemas.microsoft.com/office/spreadsheetml/2010/11/ac" url="D:\PERSONAL\GRUPO CIEMEX PRY´S FACTURACION 2025\"/>
    </mc:Choice>
  </mc:AlternateContent>
  <xr:revisionPtr revIDLastSave="0" documentId="13_ncr:1_{FC974AFF-85E3-45C0-BFA8-2F47B537E4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TURA" sheetId="4" r:id="rId1"/>
    <sheet name="LISTAS" sheetId="5" state="hidden" r:id="rId2"/>
    <sheet name="PAGO" sheetId="9" state="hidden" r:id="rId3"/>
  </sheets>
  <definedNames>
    <definedName name="EMPRESAS">Tabla18[[#Headers],[Empresas]]</definedName>
    <definedName name="REGIMEN_FISCAL">Tabla2[[#Headers],[Regimen fiscal]]</definedName>
    <definedName name="ROPA">#REF!</definedName>
    <definedName name="UNIDAD">Tabla6[[#Headers],[UNIDAD]]</definedName>
    <definedName name="USO_CFDI">Tabla3[[#Headers],[USO DE CFDI]]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8" i="4" l="1"/>
  <c r="J19" i="4"/>
  <c r="J20" i="4"/>
  <c r="J21" i="4"/>
  <c r="J16" i="4"/>
  <c r="J17" i="4" l="1"/>
  <c r="J22" i="4" l="1"/>
  <c r="J23" i="4" l="1"/>
  <c r="J15" i="4" l="1"/>
  <c r="J25" i="4" s="1"/>
  <c r="J26" i="4" s="1"/>
  <c r="J27" i="4" l="1"/>
</calcChain>
</file>

<file path=xl/sharedStrings.xml><?xml version="1.0" encoding="utf-8"?>
<sst xmlns="http://schemas.openxmlformats.org/spreadsheetml/2006/main" count="125" uniqueCount="116">
  <si>
    <t>CLAVE DEL PRODUCTO</t>
  </si>
  <si>
    <t>CANTIDAD</t>
  </si>
  <si>
    <t>UNIDAD</t>
  </si>
  <si>
    <t>DESCRIPCION</t>
  </si>
  <si>
    <t>Precio Unitario</t>
  </si>
  <si>
    <t>Total</t>
  </si>
  <si>
    <t>Subtotal</t>
  </si>
  <si>
    <t>TIPO DE COMPROBANTE</t>
  </si>
  <si>
    <t>INGRESO</t>
  </si>
  <si>
    <t>Empresa que emite:</t>
  </si>
  <si>
    <t>NEOCONSTRUYENDO</t>
  </si>
  <si>
    <t>PROMOSERVICIOS</t>
  </si>
  <si>
    <t>KUNEM</t>
  </si>
  <si>
    <t>Empresas</t>
  </si>
  <si>
    <t>601-General de Ley Personas Morales</t>
  </si>
  <si>
    <t>603-Personas Morales con Fines no Lucrativos</t>
  </si>
  <si>
    <t>605- Sueldos y Salarios e Ingresos Asimilados a Salarios</t>
  </si>
  <si>
    <t>607-Régimen de Enajenación o Adquisición de Bienes</t>
  </si>
  <si>
    <t>606-Arrendamiento</t>
  </si>
  <si>
    <t>608-Demás ingresos</t>
  </si>
  <si>
    <t>609-Consolidación</t>
  </si>
  <si>
    <t>610-Residentes en el Extranjero sin Establecimiento Permanente en México</t>
  </si>
  <si>
    <t>611- Ingresos por Dividendos (socios y accionistas)</t>
  </si>
  <si>
    <t>612- Personas Físicas con Actividades Empresariales y Profesionales</t>
  </si>
  <si>
    <t>614- Ingresos por intereses</t>
  </si>
  <si>
    <t>615-Régimen de los ingresos por obtención de premios</t>
  </si>
  <si>
    <t>616- Sin obligaciones fiscales</t>
  </si>
  <si>
    <t>620- Sociedades Cooperativas de Producción que optan por diferir sus ingresos</t>
  </si>
  <si>
    <t>621- Incorporación Fiscal</t>
  </si>
  <si>
    <t>622-Actividades Agrícolas, Ganaderas, Silvícolas y Pesqueras</t>
  </si>
  <si>
    <t>623- Opcional para Grupos de Sociedades</t>
  </si>
  <si>
    <t>624-Coordinados</t>
  </si>
  <si>
    <t>625-Régimen de las Actividades Empresariales con ingresos a través de Plataformas Tecnológicas</t>
  </si>
  <si>
    <t>626-Régimen Simplificado de Confianza</t>
  </si>
  <si>
    <t>628-Hidrocarburos</t>
  </si>
  <si>
    <t>629-De los Regímenes Fiscales Preferentes y de las Empresas Multinacionales</t>
  </si>
  <si>
    <t>630-Enajenación de acciones en bolsa de valores</t>
  </si>
  <si>
    <t>Regimen fiscal</t>
  </si>
  <si>
    <t>G01-ADQUISICION DE MERCANCIAS</t>
  </si>
  <si>
    <t>G03-GASTOS EN GENERAL</t>
  </si>
  <si>
    <t>I01 -CONSTRUCCIONES</t>
  </si>
  <si>
    <t>I02 - MOBILIARIO Y EQUIPO DE OFICINA POR INVERSION</t>
  </si>
  <si>
    <t>I03- EQUIPO DE TRANSPORTE</t>
  </si>
  <si>
    <t>I04- EQUIPO DE COMPUTO Y ACCESORIOS</t>
  </si>
  <si>
    <t>I05- DADOS, TROQUELES, MOLDES, MATRICES Y HERRAMIENTA</t>
  </si>
  <si>
    <t>I06- COMUNICACIONES SATELITALES</t>
  </si>
  <si>
    <t>I08- OTRA MAQUINARIA Y EQUIPO</t>
  </si>
  <si>
    <t>S01- SIN EFECTOS FISCALES</t>
  </si>
  <si>
    <t>USO DE CFDI</t>
  </si>
  <si>
    <t>E48-SERVICIO</t>
  </si>
  <si>
    <t>H87- PIEZA</t>
  </si>
  <si>
    <t>MTR- METRO</t>
  </si>
  <si>
    <t>MTK- MT2</t>
  </si>
  <si>
    <t>MTQ-MT3</t>
  </si>
  <si>
    <t>LTR-LITRO</t>
  </si>
  <si>
    <t>KT-KIT</t>
  </si>
  <si>
    <t>SET-JUEGO</t>
  </si>
  <si>
    <t>NT- TONELADA</t>
  </si>
  <si>
    <t>KGM-KILOGRAMO</t>
  </si>
  <si>
    <t>XBX-CAJA</t>
  </si>
  <si>
    <t>11-EQUIPOS</t>
  </si>
  <si>
    <t>XPK-PAQUETE</t>
  </si>
  <si>
    <t>PR-PAR</t>
  </si>
  <si>
    <t>DAY-DIA</t>
  </si>
  <si>
    <t>ACT-ACTIVIDAD</t>
  </si>
  <si>
    <t>LO-LOTE</t>
  </si>
  <si>
    <t>- Todos los campos son obligatorios</t>
  </si>
  <si>
    <t>RFC   :</t>
  </si>
  <si>
    <t>REGIMEN FISCAL:</t>
  </si>
  <si>
    <t>USO DEL CFD:</t>
  </si>
  <si>
    <t>FORMA DE PAGO:</t>
  </si>
  <si>
    <t>METODO DE PAGO:</t>
  </si>
  <si>
    <t>-se encuentra en el CIF.(Cliente o razon social completa, direccion fiscal y regimen fiscal)</t>
  </si>
  <si>
    <t>Cliente (Razon social):</t>
  </si>
  <si>
    <t>IVA16%</t>
  </si>
  <si>
    <t>KO INTERNATIONAL TRADING</t>
  </si>
  <si>
    <t>XSA-SACO</t>
  </si>
  <si>
    <t>LARSON SERVICES</t>
  </si>
  <si>
    <t>SERVINTE SERVICIOS INTEGRALES</t>
  </si>
  <si>
    <t>E27-DOSIS</t>
  </si>
  <si>
    <t>LM-METRO LINEAL</t>
  </si>
  <si>
    <t>STN-TONELADA O TONELADA CARGA</t>
  </si>
  <si>
    <t>A75-TONELADA DE CARGA</t>
  </si>
  <si>
    <t>26-TONELADA REAL</t>
  </si>
  <si>
    <t>XRO-ROLLO</t>
  </si>
  <si>
    <t>Para mas informacion las claves SAT se encuenta en:</t>
  </si>
  <si>
    <t>http://pys.sat.gob.mx/PyS/catPyS.aspx</t>
  </si>
  <si>
    <t xml:space="preserve">SPEED </t>
  </si>
  <si>
    <t>WOOW</t>
  </si>
  <si>
    <t>DIRECCION FISCAL:
(Completa tal cual
viene en CIF)</t>
  </si>
  <si>
    <t>GRUPO SERVIGIN</t>
  </si>
  <si>
    <t>CRETEC DISTRIBUTION</t>
  </si>
  <si>
    <t>CEILI SOLUTIONS</t>
  </si>
  <si>
    <t>TERRELL</t>
  </si>
  <si>
    <t>MON-MES</t>
  </si>
  <si>
    <t>11 -EQUIPO</t>
  </si>
  <si>
    <t>XBG-BOLSO</t>
  </si>
  <si>
    <t>YESGO&amp;ZEZJI</t>
  </si>
  <si>
    <t>INFOCAS</t>
  </si>
  <si>
    <t>CONSTRUWEREPA</t>
  </si>
  <si>
    <t>WENREY</t>
  </si>
  <si>
    <t>MPAQ</t>
  </si>
  <si>
    <t>LOZA</t>
  </si>
  <si>
    <t>INTECHMOMO</t>
  </si>
  <si>
    <t>PUE (PAGO EN UNA SOLA EXHIBICION)</t>
  </si>
  <si>
    <t>PPD (PAGO EN PARCIALIDADES O DIFERIDO)</t>
  </si>
  <si>
    <t>_01_EFECTIVO</t>
  </si>
  <si>
    <t>_02_CHEQUE</t>
  </si>
  <si>
    <t>_99_POR_DEFINIR</t>
  </si>
  <si>
    <t>_03_TRANSFERENCIA</t>
  </si>
  <si>
    <t>RC ROPH</t>
  </si>
  <si>
    <t>CIEMEX, S.A. DE C.V.</t>
  </si>
  <si>
    <t>CIE-600627-HIA</t>
  </si>
  <si>
    <t>AVENIDA THOMAS ALVA EDISON NO. 7, COL. PARQUE INDUSTRIAL CUAMATLA, CUAUTITLAN IZCALLI, EDO. DE MEXICO, C.P. 54730</t>
  </si>
  <si>
    <t>EPIC CMC</t>
  </si>
  <si>
    <t>OXIDO DE ZINC SELLO DE ORO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</si>
</sst>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A]d&quot; de &quot;mmmm&quot; de &quot;yyyy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29C7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/>
  </cellStyleXfs>
  <cellXfs count="8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/>
    <xf numFmtId="4" fontId="0" fillId="2" borderId="1" xfId="0" applyNumberFormat="1" applyFill="1" applyBorder="1"/>
    <xf numFmtId="0" fontId="2" fillId="2" borderId="1" xfId="0" applyFont="1" applyFill="1" applyBorder="1"/>
    <xf numFmtId="4" fontId="2" fillId="2" borderId="1" xfId="0" applyNumberFormat="1" applyFont="1" applyFill="1" applyBorder="1"/>
    <xf numFmtId="4" fontId="1" fillId="2" borderId="1" xfId="0" applyNumberFormat="1" applyFont="1" applyFill="1" applyBorder="1"/>
    <xf numFmtId="4" fontId="0" fillId="2" borderId="4" xfId="0" applyNumberFormat="1" applyFill="1" applyBorder="1" applyAlignment="1">
      <alignment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vertical="top"/>
    </xf>
    <xf numFmtId="0" fontId="1" fillId="3" borderId="1" xfId="0" applyFont="1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1" xfId="0" applyFont="1" applyFill="1" applyBorder="1" applyAlignment="1">
      <alignment vertical="top"/>
    </xf>
    <xf numFmtId="0" fontId="1" fillId="5" borderId="1" xfId="0" applyFont="1" applyFill="1" applyBorder="1" applyAlignment="1">
      <alignment horizontal="center" vertical="center"/>
    </xf>
    <xf numFmtId="0" fontId="4" fillId="2" borderId="7" xfId="0" applyFont="1" applyFill="1" applyBorder="1"/>
    <xf numFmtId="0" fontId="0" fillId="2" borderId="5" xfId="0" applyFill="1" applyBorder="1"/>
    <xf numFmtId="0" fontId="0" fillId="2" borderId="8" xfId="0" applyFill="1" applyBorder="1"/>
    <xf numFmtId="0" fontId="0" fillId="2" borderId="6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5" fillId="2" borderId="10" xfId="1" applyFill="1" applyBorder="1"/>
    <xf numFmtId="3" fontId="0" fillId="2" borderId="2" xfId="0" applyNumberForma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4" fontId="0" fillId="2" borderId="4" xfId="0" applyNumberForma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1" xfId="0" applyNumberFormat="1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5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0" fillId="2" borderId="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49" fontId="4" fillId="2" borderId="7" xfId="0" applyNumberFormat="1" applyFont="1" applyFill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9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4" fillId="2" borderId="12" xfId="0" applyNumberFormat="1" applyFont="1" applyFill="1" applyBorder="1" applyAlignment="1">
      <alignment horizontal="center" vertical="center" wrapText="1"/>
    </xf>
    <xf numFmtId="49" fontId="4" fillId="2" borderId="10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2" borderId="11" xfId="0" applyNumberFormat="1" applyFont="1" applyFill="1" applyBorder="1" applyAlignment="1">
      <alignment horizontal="center" vertical="center" wrapText="1"/>
    </xf>
  </cellXfs>
  <cellStyles count="3">
    <cellStyle name="Hipervínculo" xfId="1" builtinId="8"/>
    <cellStyle name="Normal" xfId="0" builtinId="0"/>
    <cellStyle name="Normal 2" xfId="2" xr:uid="{B5153C4D-2755-4C3A-8BBB-50759A213F24}"/>
  </cellStyles>
  <dxfs count="0"/>
  <tableStyles count="0" defaultTableStyle="TableStyleMedium2" defaultPivotStyle="PivotStyleLight16"/>
  <colors>
    <mruColors>
      <color rgb="FF29C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G1:G24" totalsRowShown="0">
  <autoFilter ref="G1:G24" xr:uid="{00000000-0009-0000-0100-000002000000}"/>
  <tableColumns count="1">
    <tableColumn id="1" xr3:uid="{00000000-0010-0000-0100-000001000000}" name="Regimen fisc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C1:C11" totalsRowShown="0">
  <autoFilter ref="C1:C11" xr:uid="{00000000-0009-0000-0100-000003000000}"/>
  <tableColumns count="1">
    <tableColumn id="1" xr3:uid="{00000000-0010-0000-0200-000001000000}" name="USO DE CFD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a6" displayName="Tabla6" ref="E1:E28" totalsRowShown="0">
  <autoFilter ref="E1:E28" xr:uid="{00000000-0009-0000-0100-000006000000}"/>
  <tableColumns count="1">
    <tableColumn id="1" xr3:uid="{00000000-0010-0000-0500-000001000000}" name="UN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29F2A63-8EDD-43B2-9145-E1BDA1A09829}" name="Tabla18" displayName="Tabla18" ref="A1:A22" totalsRowShown="0">
  <autoFilter ref="A1:A22" xr:uid="{E29F2A63-8EDD-43B2-9145-E1BDA1A09829}"/>
  <tableColumns count="1">
    <tableColumn id="1" xr3:uid="{1DBFEA10-5073-4B83-AF2D-A1EA3BDD0D56}" name="Empres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8981700-568D-47A6-83FC-F3D7C2A9B2EB}" name="_01_EFECTIVO" displayName="_01_EFECTIVO" ref="A1:A2" totalsRowShown="0">
  <autoFilter ref="A1:A2" xr:uid="{28981700-568D-47A6-83FC-F3D7C2A9B2EB}"/>
  <tableColumns count="1">
    <tableColumn id="1" xr3:uid="{D81CA0CE-725C-4CF7-839F-D75F6BAF2989}" name="_01_EFE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916F1E5-B166-4EC6-B587-3F86B04364F2}" name="_02_CHEQUE" displayName="_02_CHEQUE" ref="B1:B2" totalsRowShown="0">
  <autoFilter ref="B1:B2" xr:uid="{2916F1E5-B166-4EC6-B587-3F86B04364F2}"/>
  <tableColumns count="1">
    <tableColumn id="1" xr3:uid="{07012962-AA35-4C2B-899A-577B70B48927}" name="_02_CHEQ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33A8390-B3C1-4497-94F4-E63AC2F83504}" name="_03_TRANSFERENCIA" displayName="_03_TRANSFERENCIA" ref="C1:C2" totalsRowShown="0">
  <autoFilter ref="C1:C2" xr:uid="{C33A8390-B3C1-4497-94F4-E63AC2F83504}"/>
  <tableColumns count="1">
    <tableColumn id="1" xr3:uid="{661D5603-B0A1-44E4-AB03-29D7EE27804C}" name="_03_TRANSFERENCI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FF3C0C0-62E7-4392-80D1-04C9B34AFAD5}" name="_99_POR_DEFINIR" displayName="_99_POR_DEFINIR" ref="D1:D2" totalsRowShown="0">
  <autoFilter ref="D1:D2" xr:uid="{0FF3C0C0-62E7-4392-80D1-04C9B34AFAD5}"/>
  <tableColumns count="1">
    <tableColumn id="1" xr3:uid="{B49111B1-28FB-47C6-A597-28D4D3469487}" name="_99_POR_DEFINI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ys.sat.gob.mx/PyS/catPyS.asp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8"/>
  <sheetViews>
    <sheetView tabSelected="1" zoomScale="85" zoomScaleNormal="85" workbookViewId="0">
      <selection activeCell="E16" sqref="E16:G16"/>
    </sheetView>
  </sheetViews>
  <sheetFormatPr baseColWidth="10" defaultRowHeight="14.4" x14ac:dyDescent="0.3"/>
  <cols>
    <col min="1" max="1" width="21.44140625" customWidth="1"/>
    <col min="4" max="4" width="6.33203125" customWidth="1"/>
    <col min="7" max="7" width="33.88671875" customWidth="1"/>
    <col min="8" max="8" width="7.6640625" customWidth="1"/>
    <col min="9" max="9" width="8.6640625" customWidth="1"/>
    <col min="10" max="10" width="15.5546875" bestFit="1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3" t="s">
        <v>9</v>
      </c>
      <c r="B2" s="39"/>
      <c r="C2" s="40"/>
      <c r="D2" s="40"/>
      <c r="E2" s="41"/>
      <c r="F2" s="1"/>
      <c r="G2" s="13" t="s">
        <v>7</v>
      </c>
      <c r="H2" s="42" t="s">
        <v>8</v>
      </c>
      <c r="I2" s="42"/>
      <c r="J2" s="42"/>
    </row>
    <row r="3" spans="1:10" x14ac:dyDescent="0.3">
      <c r="A3" s="3"/>
      <c r="B3" s="3" t="s">
        <v>114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s="14" t="s">
        <v>73</v>
      </c>
      <c r="B4" s="39" t="s">
        <v>111</v>
      </c>
      <c r="C4" s="40"/>
      <c r="D4" s="40"/>
      <c r="E4" s="40"/>
      <c r="F4" s="40"/>
      <c r="G4" s="40"/>
      <c r="H4" s="40"/>
      <c r="I4" s="40"/>
      <c r="J4" s="41"/>
    </row>
    <row r="5" spans="1:10" x14ac:dyDescent="0.3">
      <c r="A5" s="15" t="s">
        <v>67</v>
      </c>
      <c r="B5" s="64" t="s">
        <v>112</v>
      </c>
      <c r="C5" s="65"/>
      <c r="D5" s="65"/>
      <c r="E5" s="65"/>
      <c r="F5" s="65"/>
      <c r="G5" s="66"/>
      <c r="H5" s="51" t="s">
        <v>72</v>
      </c>
      <c r="I5" s="52"/>
      <c r="J5" s="53"/>
    </row>
    <row r="6" spans="1:10" x14ac:dyDescent="0.3">
      <c r="A6" s="61" t="s">
        <v>89</v>
      </c>
      <c r="B6" s="67" t="s">
        <v>113</v>
      </c>
      <c r="C6" s="68"/>
      <c r="D6" s="68"/>
      <c r="E6" s="68"/>
      <c r="F6" s="68"/>
      <c r="G6" s="69"/>
      <c r="H6" s="54"/>
      <c r="I6" s="55"/>
      <c r="J6" s="56"/>
    </row>
    <row r="7" spans="1:10" x14ac:dyDescent="0.3">
      <c r="A7" s="62"/>
      <c r="B7" s="70"/>
      <c r="C7" s="71"/>
      <c r="D7" s="71"/>
      <c r="E7" s="71"/>
      <c r="F7" s="71"/>
      <c r="G7" s="72"/>
      <c r="H7" s="54"/>
      <c r="I7" s="55"/>
      <c r="J7" s="56"/>
    </row>
    <row r="8" spans="1:10" x14ac:dyDescent="0.3">
      <c r="A8" s="63"/>
      <c r="B8" s="73"/>
      <c r="C8" s="74"/>
      <c r="D8" s="74"/>
      <c r="E8" s="74"/>
      <c r="F8" s="74"/>
      <c r="G8" s="75"/>
      <c r="H8" s="54"/>
      <c r="I8" s="55"/>
      <c r="J8" s="56"/>
    </row>
    <row r="9" spans="1:10" x14ac:dyDescent="0.3">
      <c r="A9" s="14" t="s">
        <v>68</v>
      </c>
      <c r="B9" s="48" t="s">
        <v>14</v>
      </c>
      <c r="C9" s="49"/>
      <c r="D9" s="49"/>
      <c r="E9" s="49"/>
      <c r="F9" s="49"/>
      <c r="G9" s="50"/>
      <c r="H9" s="57"/>
      <c r="I9" s="58"/>
      <c r="J9" s="59"/>
    </row>
    <row r="10" spans="1:10" x14ac:dyDescent="0.3">
      <c r="A10" s="16" t="s">
        <v>69</v>
      </c>
      <c r="B10" s="45" t="s">
        <v>38</v>
      </c>
      <c r="C10" s="46"/>
      <c r="D10" s="46"/>
      <c r="E10" s="46"/>
      <c r="F10" s="46"/>
      <c r="G10" s="47"/>
      <c r="H10" s="76" t="s">
        <v>66</v>
      </c>
      <c r="I10" s="77"/>
      <c r="J10" s="78"/>
    </row>
    <row r="11" spans="1:10" x14ac:dyDescent="0.3">
      <c r="A11" s="16" t="s">
        <v>70</v>
      </c>
      <c r="B11" s="48" t="s">
        <v>108</v>
      </c>
      <c r="C11" s="49"/>
      <c r="D11" s="49"/>
      <c r="E11" s="49"/>
      <c r="F11" s="49"/>
      <c r="G11" s="50"/>
      <c r="H11" s="79"/>
      <c r="I11" s="80"/>
      <c r="J11" s="81"/>
    </row>
    <row r="12" spans="1:10" x14ac:dyDescent="0.3">
      <c r="A12" s="16" t="s">
        <v>71</v>
      </c>
      <c r="B12" s="48" t="s">
        <v>105</v>
      </c>
      <c r="C12" s="49"/>
      <c r="D12" s="49"/>
      <c r="E12" s="49"/>
      <c r="F12" s="49"/>
      <c r="G12" s="50"/>
      <c r="H12" s="82"/>
      <c r="I12" s="83"/>
      <c r="J12" s="84"/>
    </row>
    <row r="13" spans="1:10" x14ac:dyDescent="0.3">
      <c r="A13" s="1"/>
      <c r="B13" s="25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7" t="s">
        <v>0</v>
      </c>
      <c r="B14" s="17" t="s">
        <v>1</v>
      </c>
      <c r="C14" s="43" t="s">
        <v>2</v>
      </c>
      <c r="D14" s="44"/>
      <c r="E14" s="43" t="s">
        <v>3</v>
      </c>
      <c r="F14" s="60"/>
      <c r="G14" s="44"/>
      <c r="H14" s="43" t="s">
        <v>4</v>
      </c>
      <c r="I14" s="44"/>
      <c r="J14" s="17" t="s">
        <v>5</v>
      </c>
    </row>
    <row r="15" spans="1:10" ht="18.600000000000001" customHeight="1" x14ac:dyDescent="0.3">
      <c r="A15" s="26">
        <v>11181500</v>
      </c>
      <c r="B15" s="24">
        <v>8000</v>
      </c>
      <c r="C15" s="31" t="s">
        <v>58</v>
      </c>
      <c r="D15" s="32"/>
      <c r="E15" s="33" t="s">
        <v>115</v>
      </c>
      <c r="F15" s="34"/>
      <c r="G15" s="35"/>
      <c r="H15" s="27">
        <v>57.95</v>
      </c>
      <c r="I15" s="28"/>
      <c r="J15" s="10">
        <f t="shared" ref="J15:J23" si="0">B15*H15</f>
        <v>463600</v>
      </c>
    </row>
    <row r="16" spans="1:10" ht="17.399999999999999" customHeight="1" x14ac:dyDescent="0.3">
      <c r="A16" s="4"/>
      <c r="B16" s="11"/>
      <c r="C16" s="31"/>
      <c r="D16" s="32"/>
      <c r="E16" s="33"/>
      <c r="F16" s="34"/>
      <c r="G16" s="35"/>
      <c r="H16" s="27"/>
      <c r="I16" s="28"/>
      <c r="J16" s="10">
        <f t="shared" si="0"/>
        <v>0</v>
      </c>
    </row>
    <row r="17" spans="1:10" x14ac:dyDescent="0.3">
      <c r="A17" s="4"/>
      <c r="B17" s="11"/>
      <c r="C17" s="31"/>
      <c r="D17" s="32"/>
      <c r="E17" s="33"/>
      <c r="F17" s="34"/>
      <c r="G17" s="35"/>
      <c r="H17" s="27"/>
      <c r="I17" s="28"/>
      <c r="J17" s="10">
        <f t="shared" si="0"/>
        <v>0</v>
      </c>
    </row>
    <row r="18" spans="1:10" x14ac:dyDescent="0.3">
      <c r="A18" s="4"/>
      <c r="B18" s="11"/>
      <c r="C18" s="31"/>
      <c r="D18" s="32"/>
      <c r="E18" s="36"/>
      <c r="F18" s="37"/>
      <c r="G18" s="38"/>
      <c r="H18" s="27"/>
      <c r="I18" s="28"/>
      <c r="J18" s="10">
        <f t="shared" si="0"/>
        <v>0</v>
      </c>
    </row>
    <row r="19" spans="1:10" x14ac:dyDescent="0.3">
      <c r="A19" s="4"/>
      <c r="B19" s="11"/>
      <c r="C19" s="31"/>
      <c r="D19" s="32"/>
      <c r="E19" s="36"/>
      <c r="F19" s="37"/>
      <c r="G19" s="38"/>
      <c r="H19" s="27"/>
      <c r="I19" s="28"/>
      <c r="J19" s="10">
        <f t="shared" si="0"/>
        <v>0</v>
      </c>
    </row>
    <row r="20" spans="1:10" x14ac:dyDescent="0.3">
      <c r="A20" s="4"/>
      <c r="B20" s="11"/>
      <c r="C20" s="31"/>
      <c r="D20" s="32"/>
      <c r="E20" s="36"/>
      <c r="F20" s="37"/>
      <c r="G20" s="38"/>
      <c r="H20" s="27"/>
      <c r="I20" s="28"/>
      <c r="J20" s="10">
        <f t="shared" si="0"/>
        <v>0</v>
      </c>
    </row>
    <row r="21" spans="1:10" x14ac:dyDescent="0.3">
      <c r="A21" s="4"/>
      <c r="B21" s="11"/>
      <c r="C21" s="31"/>
      <c r="D21" s="32"/>
      <c r="E21" s="36"/>
      <c r="F21" s="37"/>
      <c r="G21" s="38"/>
      <c r="H21" s="27"/>
      <c r="I21" s="28"/>
      <c r="J21" s="10">
        <f t="shared" si="0"/>
        <v>0</v>
      </c>
    </row>
    <row r="22" spans="1:10" x14ac:dyDescent="0.3">
      <c r="A22" s="4"/>
      <c r="B22" s="11"/>
      <c r="C22" s="31"/>
      <c r="D22" s="32"/>
      <c r="E22" s="36"/>
      <c r="F22" s="37"/>
      <c r="G22" s="38"/>
      <c r="H22" s="27"/>
      <c r="I22" s="28"/>
      <c r="J22" s="10">
        <f t="shared" si="0"/>
        <v>0</v>
      </c>
    </row>
    <row r="23" spans="1:10" x14ac:dyDescent="0.3">
      <c r="A23" s="4"/>
      <c r="B23" s="11"/>
      <c r="C23" s="31"/>
      <c r="D23" s="32"/>
      <c r="E23" s="36"/>
      <c r="F23" s="37"/>
      <c r="G23" s="38"/>
      <c r="H23" s="27"/>
      <c r="I23" s="28"/>
      <c r="J23" s="10">
        <f t="shared" si="0"/>
        <v>0</v>
      </c>
    </row>
    <row r="24" spans="1:10" x14ac:dyDescent="0.3">
      <c r="A24" s="1"/>
      <c r="B24" s="1"/>
      <c r="C24" s="29"/>
      <c r="D24" s="29"/>
      <c r="E24" s="29"/>
      <c r="F24" s="29"/>
      <c r="G24" s="29"/>
      <c r="H24" s="30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5" t="s">
        <v>6</v>
      </c>
      <c r="J25" s="6">
        <f>SUM(J15:J24)</f>
        <v>463600</v>
      </c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7" t="s">
        <v>74</v>
      </c>
      <c r="J26" s="8">
        <f>J25*0.16</f>
        <v>74176</v>
      </c>
    </row>
    <row r="27" spans="1:10" x14ac:dyDescent="0.3">
      <c r="A27" s="18" t="s">
        <v>85</v>
      </c>
      <c r="B27" s="19"/>
      <c r="C27" s="19"/>
      <c r="D27" s="19"/>
      <c r="E27" s="20"/>
      <c r="F27" s="1"/>
      <c r="G27" s="1"/>
      <c r="H27" s="1"/>
      <c r="I27" s="2" t="s">
        <v>5</v>
      </c>
      <c r="J27" s="9">
        <f>J25+J26</f>
        <v>537776</v>
      </c>
    </row>
    <row r="28" spans="1:10" x14ac:dyDescent="0.3">
      <c r="A28" s="23" t="s">
        <v>86</v>
      </c>
      <c r="B28" s="21"/>
      <c r="C28" s="21"/>
      <c r="D28" s="21"/>
      <c r="E28" s="22"/>
      <c r="F28" s="12"/>
      <c r="G28" s="12"/>
      <c r="H28" s="1"/>
      <c r="I28" s="1"/>
      <c r="J28" s="1"/>
    </row>
  </sheetData>
  <mergeCells count="43">
    <mergeCell ref="A6:A8"/>
    <mergeCell ref="B5:G5"/>
    <mergeCell ref="B6:G8"/>
    <mergeCell ref="B9:G9"/>
    <mergeCell ref="H10:J12"/>
    <mergeCell ref="B2:E2"/>
    <mergeCell ref="H2:J2"/>
    <mergeCell ref="B4:J4"/>
    <mergeCell ref="C14:D14"/>
    <mergeCell ref="H14:I14"/>
    <mergeCell ref="B10:G10"/>
    <mergeCell ref="B11:G11"/>
    <mergeCell ref="B12:G12"/>
    <mergeCell ref="H5:J9"/>
    <mergeCell ref="E14:G14"/>
    <mergeCell ref="C15:D15"/>
    <mergeCell ref="H15:I15"/>
    <mergeCell ref="C23:D23"/>
    <mergeCell ref="H23:I23"/>
    <mergeCell ref="E15:G15"/>
    <mergeCell ref="E23:G23"/>
    <mergeCell ref="C22:D22"/>
    <mergeCell ref="E22:G22"/>
    <mergeCell ref="H22:I22"/>
    <mergeCell ref="C17:D17"/>
    <mergeCell ref="C21:D21"/>
    <mergeCell ref="E21:G21"/>
    <mergeCell ref="H21:I21"/>
    <mergeCell ref="C16:D16"/>
    <mergeCell ref="E16:G16"/>
    <mergeCell ref="H16:I16"/>
    <mergeCell ref="H17:I17"/>
    <mergeCell ref="H18:I18"/>
    <mergeCell ref="H19:I19"/>
    <mergeCell ref="H20:I20"/>
    <mergeCell ref="C24:H24"/>
    <mergeCell ref="C18:D18"/>
    <mergeCell ref="C19:D19"/>
    <mergeCell ref="C20:D20"/>
    <mergeCell ref="E17:G17"/>
    <mergeCell ref="E18:G18"/>
    <mergeCell ref="E19:G19"/>
    <mergeCell ref="E20:G20"/>
  </mergeCells>
  <dataValidations count="1">
    <dataValidation type="list" allowBlank="1" showInputMessage="1" showErrorMessage="1" errorTitle="Entrada no Valida" error="Seleccione un metodo de pago de la lista" promptTitle="METODO DE PAGO" prompt="Seleccione un metodo de pago de la lista" sqref="B12:G12" xr:uid="{00000000-0002-0000-0000-000004000000}">
      <formula1>INDIRECT(++$B$11)</formula1>
    </dataValidation>
  </dataValidations>
  <hyperlinks>
    <hyperlink ref="A28" r:id="rId1" xr:uid="{BF6D1640-420E-46BE-A64F-0F3BC89B38D1}"/>
  </hyperlinks>
  <pageMargins left="0.70866141732283472" right="0.70866141732283472" top="0.74803149606299213" bottom="0.74803149606299213" header="0.31496062992125984" footer="0.31496062992125984"/>
  <pageSetup scale="88" orientation="landscape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errorTitle="Entrada no Valida" error="Seleccione un uso de cfdi de la lista" promptTitle="USO DE CFDI" prompt="Seleccione un uso de CFDI de la lista" xr:uid="{00000000-0002-0000-0000-000002000000}">
          <x14:formula1>
            <xm:f>LISTAS!$C$2:$C$11</xm:f>
          </x14:formula1>
          <xm:sqref>B10:G10</xm:sqref>
        </x14:dataValidation>
        <x14:dataValidation type="list" allowBlank="1" showInputMessage="1" showErrorMessage="1" errorTitle="Entrada no valida" error="Seleccione una empresa de la lista" promptTitle="EMPRESAS" prompt="Seleccione una empresa de la lista" xr:uid="{00000000-0002-0000-0000-000000000000}">
          <x14:formula1>
            <xm:f>LISTAS!$A$2:$A$56</xm:f>
          </x14:formula1>
          <xm:sqref>B2:E2</xm:sqref>
        </x14:dataValidation>
        <x14:dataValidation type="list" allowBlank="1" showInputMessage="1" showErrorMessage="1" errorTitle="Entrada no valida" error="Seleccione una unidad de la lista" promptTitle="UNIDAD" prompt="Seleccione una unidad de la lista" xr:uid="{A5FB7014-1394-4186-8940-4245F31A930B}">
          <x14:formula1>
            <xm:f>LISTAS!$E$2:$E$28</xm:f>
          </x14:formula1>
          <xm:sqref>C15:D23</xm:sqref>
        </x14:dataValidation>
        <x14:dataValidation type="list" allowBlank="1" showInputMessage="1" showErrorMessage="1" errorTitle="Entrada no valida" error="Seleccione un regimen de la lista" promptTitle="Regimen Fiscal" prompt="Seleccione un Regimen de la lista" xr:uid="{00000000-0002-0000-0000-000001000000}">
          <x14:formula1>
            <xm:f>LISTAS!$G$2:$G$24</xm:f>
          </x14:formula1>
          <xm:sqref>B9:G9</xm:sqref>
        </x14:dataValidation>
        <x14:dataValidation type="list" allowBlank="1" showInputMessage="1" showErrorMessage="1" errorTitle="Entrada no Valida" error="Seleccione una forma de pago de la lista" promptTitle="FORMA DE PAGO" prompt="Seleccione una forma de pago de la lista" xr:uid="{00000000-0002-0000-0000-000003000000}">
          <x14:formula1>
            <xm:f>PAGO!$A$1:$D$1</xm:f>
          </x14:formula1>
          <xm:sqref>B11:G11</xm:sqref>
        </x14:dataValidation>
        <x14:dataValidation type="list" allowBlank="1" showInputMessage="1" showErrorMessage="1" xr:uid="{DCA1372E-F08C-403F-86D3-0B77C7727BEA}">
          <x14:formula1>
            <xm:f>LISTAS!#REF!</xm:f>
          </x14:formula1>
          <xm:sqref>M8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>
      <selection activeCell="C1" sqref="C1"/>
    </sheetView>
  </sheetViews>
  <sheetFormatPr baseColWidth="10" defaultRowHeight="14.4" x14ac:dyDescent="0.3"/>
  <cols>
    <col min="1" max="1" width="39.44140625" customWidth="1"/>
    <col min="3" max="3" width="56.109375" bestFit="1" customWidth="1"/>
    <col min="5" max="5" width="33.6640625" bestFit="1" customWidth="1"/>
    <col min="7" max="7" width="87.88671875" bestFit="1" customWidth="1"/>
  </cols>
  <sheetData>
    <row r="1" spans="1:7" x14ac:dyDescent="0.3">
      <c r="A1" t="s">
        <v>13</v>
      </c>
      <c r="C1" t="s">
        <v>48</v>
      </c>
      <c r="E1" t="s">
        <v>2</v>
      </c>
      <c r="G1" t="s">
        <v>37</v>
      </c>
    </row>
    <row r="2" spans="1:7" x14ac:dyDescent="0.3">
      <c r="A2" t="s">
        <v>12</v>
      </c>
      <c r="C2" t="s">
        <v>38</v>
      </c>
      <c r="E2" t="s">
        <v>49</v>
      </c>
      <c r="G2" t="s">
        <v>14</v>
      </c>
    </row>
    <row r="3" spans="1:7" x14ac:dyDescent="0.3">
      <c r="A3" t="s">
        <v>75</v>
      </c>
      <c r="C3" t="s">
        <v>39</v>
      </c>
      <c r="E3" t="s">
        <v>50</v>
      </c>
      <c r="G3" t="s">
        <v>15</v>
      </c>
    </row>
    <row r="4" spans="1:7" x14ac:dyDescent="0.3">
      <c r="C4" t="s">
        <v>40</v>
      </c>
      <c r="E4" t="s">
        <v>58</v>
      </c>
      <c r="G4" t="s">
        <v>16</v>
      </c>
    </row>
    <row r="5" spans="1:7" x14ac:dyDescent="0.3">
      <c r="A5" t="s">
        <v>10</v>
      </c>
      <c r="C5" t="s">
        <v>41</v>
      </c>
      <c r="E5" t="s">
        <v>51</v>
      </c>
      <c r="G5" t="s">
        <v>18</v>
      </c>
    </row>
    <row r="6" spans="1:7" x14ac:dyDescent="0.3">
      <c r="A6" t="s">
        <v>78</v>
      </c>
      <c r="C6" t="s">
        <v>42</v>
      </c>
      <c r="E6" t="s">
        <v>52</v>
      </c>
      <c r="G6" t="s">
        <v>17</v>
      </c>
    </row>
    <row r="7" spans="1:7" x14ac:dyDescent="0.3">
      <c r="A7" t="s">
        <v>11</v>
      </c>
      <c r="C7" t="s">
        <v>43</v>
      </c>
      <c r="E7" t="s">
        <v>53</v>
      </c>
      <c r="G7" t="s">
        <v>19</v>
      </c>
    </row>
    <row r="8" spans="1:7" x14ac:dyDescent="0.3">
      <c r="A8" t="s">
        <v>93</v>
      </c>
      <c r="C8" t="s">
        <v>44</v>
      </c>
      <c r="E8" t="s">
        <v>54</v>
      </c>
      <c r="G8" t="s">
        <v>20</v>
      </c>
    </row>
    <row r="9" spans="1:7" x14ac:dyDescent="0.3">
      <c r="A9" t="s">
        <v>77</v>
      </c>
      <c r="C9" t="s">
        <v>45</v>
      </c>
      <c r="E9" t="s">
        <v>55</v>
      </c>
      <c r="G9" t="s">
        <v>21</v>
      </c>
    </row>
    <row r="10" spans="1:7" x14ac:dyDescent="0.3">
      <c r="A10" t="s">
        <v>87</v>
      </c>
      <c r="C10" t="s">
        <v>46</v>
      </c>
      <c r="E10" t="s">
        <v>56</v>
      </c>
      <c r="G10" t="s">
        <v>22</v>
      </c>
    </row>
    <row r="11" spans="1:7" x14ac:dyDescent="0.3">
      <c r="A11" t="s">
        <v>88</v>
      </c>
      <c r="C11" t="s">
        <v>47</v>
      </c>
      <c r="E11" t="s">
        <v>57</v>
      </c>
      <c r="G11" t="s">
        <v>23</v>
      </c>
    </row>
    <row r="12" spans="1:7" x14ac:dyDescent="0.3">
      <c r="A12" t="s">
        <v>90</v>
      </c>
      <c r="E12" t="s">
        <v>59</v>
      </c>
      <c r="G12" t="s">
        <v>24</v>
      </c>
    </row>
    <row r="13" spans="1:7" x14ac:dyDescent="0.3">
      <c r="A13" t="s">
        <v>91</v>
      </c>
      <c r="E13" t="s">
        <v>60</v>
      </c>
      <c r="G13" t="s">
        <v>25</v>
      </c>
    </row>
    <row r="14" spans="1:7" x14ac:dyDescent="0.3">
      <c r="A14" t="s">
        <v>92</v>
      </c>
      <c r="E14" t="s">
        <v>61</v>
      </c>
      <c r="G14" t="s">
        <v>26</v>
      </c>
    </row>
    <row r="15" spans="1:7" x14ac:dyDescent="0.3">
      <c r="A15" t="s">
        <v>97</v>
      </c>
      <c r="E15" t="s">
        <v>62</v>
      </c>
      <c r="G15" t="s">
        <v>27</v>
      </c>
    </row>
    <row r="16" spans="1:7" x14ac:dyDescent="0.3">
      <c r="A16" t="s">
        <v>98</v>
      </c>
      <c r="E16" t="s">
        <v>63</v>
      </c>
      <c r="G16" t="s">
        <v>28</v>
      </c>
    </row>
    <row r="17" spans="1:7" x14ac:dyDescent="0.3">
      <c r="A17" t="s">
        <v>99</v>
      </c>
      <c r="E17" t="s">
        <v>64</v>
      </c>
      <c r="G17" t="s">
        <v>29</v>
      </c>
    </row>
    <row r="18" spans="1:7" x14ac:dyDescent="0.3">
      <c r="A18" t="s">
        <v>100</v>
      </c>
      <c r="E18" t="s">
        <v>65</v>
      </c>
      <c r="G18" t="s">
        <v>30</v>
      </c>
    </row>
    <row r="19" spans="1:7" x14ac:dyDescent="0.3">
      <c r="A19" t="s">
        <v>101</v>
      </c>
      <c r="E19" t="s">
        <v>81</v>
      </c>
      <c r="G19" t="s">
        <v>31</v>
      </c>
    </row>
    <row r="20" spans="1:7" x14ac:dyDescent="0.3">
      <c r="A20" t="s">
        <v>102</v>
      </c>
      <c r="E20" t="s">
        <v>76</v>
      </c>
      <c r="G20" t="s">
        <v>32</v>
      </c>
    </row>
    <row r="21" spans="1:7" x14ac:dyDescent="0.3">
      <c r="A21" t="s">
        <v>103</v>
      </c>
      <c r="E21" t="s">
        <v>79</v>
      </c>
      <c r="G21" t="s">
        <v>33</v>
      </c>
    </row>
    <row r="22" spans="1:7" x14ac:dyDescent="0.3">
      <c r="A22" t="s">
        <v>110</v>
      </c>
      <c r="E22" t="s">
        <v>80</v>
      </c>
      <c r="G22" t="s">
        <v>34</v>
      </c>
    </row>
    <row r="23" spans="1:7" x14ac:dyDescent="0.3">
      <c r="E23" t="s">
        <v>82</v>
      </c>
      <c r="G23" t="s">
        <v>35</v>
      </c>
    </row>
    <row r="24" spans="1:7" x14ac:dyDescent="0.3">
      <c r="E24" t="s">
        <v>83</v>
      </c>
      <c r="G24" t="s">
        <v>36</v>
      </c>
    </row>
    <row r="25" spans="1:7" x14ac:dyDescent="0.3">
      <c r="E25" t="s">
        <v>84</v>
      </c>
    </row>
    <row r="26" spans="1:7" x14ac:dyDescent="0.3">
      <c r="E26" t="s">
        <v>94</v>
      </c>
    </row>
    <row r="27" spans="1:7" x14ac:dyDescent="0.3">
      <c r="E27" t="s">
        <v>95</v>
      </c>
    </row>
    <row r="28" spans="1:7" x14ac:dyDescent="0.3">
      <c r="E28" t="s">
        <v>96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3560-B92C-4115-87ED-D53B987A5514}">
  <dimension ref="A1:D2"/>
  <sheetViews>
    <sheetView workbookViewId="0">
      <selection activeCell="D1" sqref="D1:D2"/>
    </sheetView>
  </sheetViews>
  <sheetFormatPr baseColWidth="10" defaultRowHeight="14.4" x14ac:dyDescent="0.3"/>
  <cols>
    <col min="1" max="1" width="15.5546875" customWidth="1"/>
    <col min="2" max="2" width="14.44140625" customWidth="1"/>
    <col min="3" max="3" width="21.5546875" customWidth="1"/>
    <col min="4" max="4" width="18.88671875" customWidth="1"/>
  </cols>
  <sheetData>
    <row r="1" spans="1:4" x14ac:dyDescent="0.3">
      <c r="A1" t="s">
        <v>106</v>
      </c>
      <c r="B1" t="s">
        <v>107</v>
      </c>
      <c r="C1" t="s">
        <v>109</v>
      </c>
      <c r="D1" t="s">
        <v>108</v>
      </c>
    </row>
    <row r="2" spans="1:4" x14ac:dyDescent="0.3">
      <c r="A2" t="s">
        <v>104</v>
      </c>
      <c r="B2" t="s">
        <v>104</v>
      </c>
      <c r="C2" t="s">
        <v>104</v>
      </c>
      <c r="D2" t="s">
        <v>105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FACTURA</vt:lpstr>
      <vt:lpstr>LISTAS</vt:lpstr>
      <vt:lpstr>PAGO</vt:lpstr>
      <vt:lpstr>EMPRESAS</vt:lpstr>
      <vt:lpstr>REGIMEN_FISCAL</vt:lpstr>
      <vt:lpstr>UNIDAD</vt:lpstr>
      <vt:lpstr>USO_CFDI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Equipo_2</dc:creator>
  <cp:lastModifiedBy>victor tovar</cp:lastModifiedBy>
  <cp:lastPrinted>2024-06-06T23:59:04Z</cp:lastPrinted>
  <dcterms:created xsi:type="dcterms:W3CDTF">2017-12-04T17:48:14Z</dcterms:created>
  <dcterms:modified xsi:type="dcterms:W3CDTF">2025-06-27T20:16:01Z</dcterms:modified>
</cp:coreProperties>
</file>