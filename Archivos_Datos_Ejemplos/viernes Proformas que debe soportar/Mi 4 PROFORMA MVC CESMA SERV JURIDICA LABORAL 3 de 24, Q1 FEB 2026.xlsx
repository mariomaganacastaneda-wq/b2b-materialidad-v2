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cardo/Documents/0 Descargas apple/sol y facturas 3Q o 1 de febrero 2026/"/>
    </mc:Choice>
  </mc:AlternateContent>
  <xr:revisionPtr revIDLastSave="0" documentId="13_ncr:1_{30CADA72-97D5-584A-9095-7A4312782BB2}" xr6:coauthVersionLast="47" xr6:coauthVersionMax="47" xr10:uidLastSave="{00000000-0000-0000-0000-000000000000}"/>
  <bookViews>
    <workbookView xWindow="0" yWindow="500" windowWidth="16520" windowHeight="12560" xr2:uid="{9BED9E8C-99F0-423B-AA18-3FED5D26B6A3}"/>
  </bookViews>
  <sheets>
    <sheet name="FACTURA MVC CESMA LABORAL" sheetId="2" r:id="rId1"/>
  </sheets>
  <externalReferences>
    <externalReference r:id="rId2"/>
  </externalReferences>
  <definedNames>
    <definedName name="EMPRESAS">[1]!Tabla18[[#Headers],[Empresas]]</definedName>
    <definedName name="REGIMEN_FISCAL">[1]!Tabla2[[#Headers],[Regimen fiscal]]</definedName>
    <definedName name="ROPA">#REF!</definedName>
    <definedName name="UNIDAD">[1]!Tabla6[[#Headers],[UNIDAD]]</definedName>
    <definedName name="USO_CFDI">[1]!Tabla3[[#Headers],[USO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2" l="1"/>
  <c r="J18" i="2"/>
  <c r="J21" i="2" s="1"/>
  <c r="J22" i="2" l="1"/>
  <c r="J23" i="2" s="1"/>
</calcChain>
</file>

<file path=xl/sharedStrings.xml><?xml version="1.0" encoding="utf-8"?>
<sst xmlns="http://schemas.openxmlformats.org/spreadsheetml/2006/main" count="33" uniqueCount="32">
  <si>
    <t>Empresa que emite:</t>
  </si>
  <si>
    <t>TIPO DE COMPROBANTE</t>
  </si>
  <si>
    <t>INGRESO</t>
  </si>
  <si>
    <t>Cliente (Razon social):</t>
  </si>
  <si>
    <t>CESMA SEGURIDAD PRIVADA, S. DE R.L. DE C.V.</t>
  </si>
  <si>
    <t>RFC   :</t>
  </si>
  <si>
    <t>CSP230721JC3</t>
  </si>
  <si>
    <t>-se encuentra en el CIF.(Cliente o razon social completa, direccion fiscal y regimen fiscal)</t>
  </si>
  <si>
    <t>DIRECCION FISCAL:
(Completa tal cual
viene en CIF)</t>
  </si>
  <si>
    <t>Av. 20 de Noviembre  # 211 Int. 309, Centro, Cuautitlan, 54800, Estado de México, Tel . 5558759701</t>
  </si>
  <si>
    <t>REGIMEN FISCAL:</t>
  </si>
  <si>
    <t>601-General de Ley Personas Morales</t>
  </si>
  <si>
    <t>USO DEL CFD:</t>
  </si>
  <si>
    <t>G03-GASTOS EN GENERAL</t>
  </si>
  <si>
    <t>- Todos los campos son obligatorios</t>
  </si>
  <si>
    <t>FORMA DE PAGO:</t>
  </si>
  <si>
    <t>_03_TRANSFERENCIA</t>
  </si>
  <si>
    <t>METODO DE PAGO:</t>
  </si>
  <si>
    <t>PUE (PAGO EN UNA SOLA EXHIBICION)</t>
  </si>
  <si>
    <t>CLAVE DEL PRODUCTO</t>
  </si>
  <si>
    <t>CANTIDAD</t>
  </si>
  <si>
    <t>UNIDAD</t>
  </si>
  <si>
    <t>DESCRIPCION</t>
  </si>
  <si>
    <t>Precio Unitario</t>
  </si>
  <si>
    <t>Total</t>
  </si>
  <si>
    <t>E-48, SERVICIO</t>
  </si>
  <si>
    <t>Subtotal</t>
  </si>
  <si>
    <t>IVA16%</t>
  </si>
  <si>
    <t>Para mas informacion las claves SAT se encuenta en:</t>
  </si>
  <si>
    <t>http://pys.sat.gob.mx/PyS/catPyS.aspx</t>
  </si>
  <si>
    <t>MAGAÑA VIEIRA Y CUEVAS</t>
  </si>
  <si>
    <t>CARGO QUINCENAL 3 DE 24 POR SERVICIOS DE LEGALES SOBRE DERECHO LABORAL, SEGUN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</si>
</sst>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-80A]d&quot; de &quot;mmmm&quot; de &quot;yyyy;@"/>
    <numFmt numFmtId="166" formatCode="_-&quot;$&quot;* #,##0.0000_-;\-&quot;$&quot;* #,##0.00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2" borderId="1" xfId="0" applyNumberFormat="1" applyFill="1" applyBorder="1" applyAlignment="1">
      <alignment vertical="center" wrapText="1"/>
    </xf>
    <xf numFmtId="0" fontId="0" fillId="2" borderId="1" xfId="0" applyFill="1" applyBorder="1"/>
    <xf numFmtId="4" fontId="0" fillId="2" borderId="1" xfId="0" applyNumberFormat="1" applyFill="1" applyBorder="1"/>
    <xf numFmtId="164" fontId="0" fillId="0" borderId="0" xfId="1" applyFont="1"/>
    <xf numFmtId="164" fontId="0" fillId="0" borderId="0" xfId="0" applyNumberFormat="1"/>
    <xf numFmtId="0" fontId="6" fillId="2" borderId="1" xfId="0" applyFont="1" applyFill="1" applyBorder="1"/>
    <xf numFmtId="4" fontId="6" fillId="2" borderId="1" xfId="0" applyNumberFormat="1" applyFont="1" applyFill="1" applyBorder="1"/>
    <xf numFmtId="166" fontId="0" fillId="0" borderId="0" xfId="0" applyNumberFormat="1"/>
    <xf numFmtId="0" fontId="4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0" fontId="3" fillId="2" borderId="11" xfId="2" applyFill="1" applyBorder="1"/>
    <xf numFmtId="0" fontId="0" fillId="2" borderId="10" xfId="0" applyFill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0" xfId="0" applyFill="1" applyAlignment="1">
      <alignment vertical="top"/>
    </xf>
    <xf numFmtId="0" fontId="3" fillId="0" borderId="0" xfId="2"/>
    <xf numFmtId="0" fontId="2" fillId="3" borderId="2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7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64" fontId="0" fillId="2" borderId="2" xfId="1" applyFont="1" applyFill="1" applyBorder="1" applyAlignment="1">
      <alignment horizontal="center" vertical="center" wrapText="1"/>
    </xf>
    <xf numFmtId="164" fontId="0" fillId="2" borderId="4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165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702235</xdr:colOff>
      <xdr:row>3</xdr:row>
      <xdr:rowOff>119529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9FF430-FE98-BA46-8FBF-8613EED6C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2235" cy="7022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Relationship Id="rId1" Type="http://schemas.openxmlformats.org/officeDocument/2006/relationships/externalLinkPath" Target="file:///D:/PERSONAL/CESAR%20CRUZ-CESMA-CLEANVIA-RICH%20MEDINA/CESMA/PROFORMA%20MAGA&#209;A%20Y%20VIEIRA-CESMA_SERV.%20ASESORIA%20FIN.%201%20de%2024,%20Q1%20ENE.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LISTAS"/>
      <sheetName val="PAGO"/>
      <sheetName val="PROFORMA MAGAÑA Y VIEIRA-CESMA_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B48F-943E-4C4F-A138-904C8D71EC71}">
  <sheetPr>
    <pageSetUpPr fitToPage="1"/>
  </sheetPr>
  <dimension ref="A1:L24"/>
  <sheetViews>
    <sheetView tabSelected="1" zoomScale="85" zoomScaleNormal="85" workbookViewId="0">
      <selection activeCell="E18" sqref="E18:G18"/>
    </sheetView>
  </sheetViews>
  <sheetFormatPr baseColWidth="10" defaultRowHeight="15" x14ac:dyDescent="0.2"/>
  <cols>
    <col min="1" max="1" width="21.5" customWidth="1"/>
    <col min="4" max="4" width="6.1640625" customWidth="1"/>
    <col min="7" max="7" width="26.1640625" customWidth="1"/>
    <col min="8" max="8" width="7.83203125" customWidth="1"/>
    <col min="9" max="9" width="8.83203125" customWidth="1"/>
    <col min="10" max="10" width="13.83203125" customWidth="1"/>
    <col min="12" max="12" width="12.83203125" bestFit="1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">
      <c r="A5" s="23" t="s">
        <v>0</v>
      </c>
      <c r="B5" s="63"/>
      <c r="C5" s="63"/>
      <c r="D5" s="63"/>
      <c r="E5" s="63"/>
      <c r="F5" s="1"/>
      <c r="G5" s="24" t="s">
        <v>1</v>
      </c>
      <c r="H5" s="64" t="s">
        <v>2</v>
      </c>
      <c r="I5" s="64"/>
      <c r="J5" s="64"/>
    </row>
    <row r="6" spans="1:10" ht="16" x14ac:dyDescent="0.2">
      <c r="A6" s="2"/>
      <c r="B6" s="27" t="s">
        <v>30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24" t="s">
        <v>3</v>
      </c>
      <c r="B7" s="65" t="s">
        <v>4</v>
      </c>
      <c r="C7" s="66"/>
      <c r="D7" s="66"/>
      <c r="E7" s="66"/>
      <c r="F7" s="66"/>
      <c r="G7" s="66"/>
      <c r="H7" s="66"/>
      <c r="I7" s="66"/>
      <c r="J7" s="67"/>
    </row>
    <row r="8" spans="1:10" x14ac:dyDescent="0.2">
      <c r="A8" s="23" t="s">
        <v>5</v>
      </c>
      <c r="B8" s="68" t="s">
        <v>6</v>
      </c>
      <c r="C8" s="69"/>
      <c r="D8" s="69"/>
      <c r="E8" s="69"/>
      <c r="F8" s="69"/>
      <c r="G8" s="70"/>
      <c r="H8" s="71" t="s">
        <v>7</v>
      </c>
      <c r="I8" s="72"/>
      <c r="J8" s="73"/>
    </row>
    <row r="9" spans="1:10" x14ac:dyDescent="0.2">
      <c r="A9" s="51" t="s">
        <v>8</v>
      </c>
      <c r="B9" s="54" t="s">
        <v>9</v>
      </c>
      <c r="C9" s="55"/>
      <c r="D9" s="55"/>
      <c r="E9" s="55"/>
      <c r="F9" s="55"/>
      <c r="G9" s="56"/>
      <c r="H9" s="74"/>
      <c r="I9" s="75"/>
      <c r="J9" s="76"/>
    </row>
    <row r="10" spans="1:10" x14ac:dyDescent="0.2">
      <c r="A10" s="52"/>
      <c r="B10" s="57"/>
      <c r="C10" s="58"/>
      <c r="D10" s="58"/>
      <c r="E10" s="58"/>
      <c r="F10" s="58"/>
      <c r="G10" s="59"/>
      <c r="H10" s="74"/>
      <c r="I10" s="75"/>
      <c r="J10" s="76"/>
    </row>
    <row r="11" spans="1:10" x14ac:dyDescent="0.2">
      <c r="A11" s="53"/>
      <c r="B11" s="60"/>
      <c r="C11" s="61"/>
      <c r="D11" s="61"/>
      <c r="E11" s="61"/>
      <c r="F11" s="61"/>
      <c r="G11" s="62"/>
      <c r="H11" s="74"/>
      <c r="I11" s="75"/>
      <c r="J11" s="76"/>
    </row>
    <row r="12" spans="1:10" x14ac:dyDescent="0.2">
      <c r="A12" s="24" t="s">
        <v>10</v>
      </c>
      <c r="B12" s="36" t="s">
        <v>11</v>
      </c>
      <c r="C12" s="37"/>
      <c r="D12" s="37"/>
      <c r="E12" s="37"/>
      <c r="F12" s="37"/>
      <c r="G12" s="38"/>
      <c r="H12" s="77"/>
      <c r="I12" s="78"/>
      <c r="J12" s="79"/>
    </row>
    <row r="13" spans="1:10" x14ac:dyDescent="0.2">
      <c r="A13" s="25" t="s">
        <v>12</v>
      </c>
      <c r="B13" s="36" t="s">
        <v>13</v>
      </c>
      <c r="C13" s="37"/>
      <c r="D13" s="37"/>
      <c r="E13" s="37"/>
      <c r="F13" s="37"/>
      <c r="G13" s="38"/>
      <c r="H13" s="39" t="s">
        <v>14</v>
      </c>
      <c r="I13" s="40"/>
      <c r="J13" s="41"/>
    </row>
    <row r="14" spans="1:10" x14ac:dyDescent="0.2">
      <c r="A14" s="25" t="s">
        <v>15</v>
      </c>
      <c r="B14" s="36" t="s">
        <v>16</v>
      </c>
      <c r="C14" s="37"/>
      <c r="D14" s="37"/>
      <c r="E14" s="37"/>
      <c r="F14" s="37"/>
      <c r="G14" s="38"/>
      <c r="H14" s="42"/>
      <c r="I14" s="43"/>
      <c r="J14" s="44"/>
    </row>
    <row r="15" spans="1:10" x14ac:dyDescent="0.2">
      <c r="A15" s="25" t="s">
        <v>17</v>
      </c>
      <c r="B15" s="36" t="s">
        <v>18</v>
      </c>
      <c r="C15" s="37"/>
      <c r="D15" s="37"/>
      <c r="E15" s="37"/>
      <c r="F15" s="37"/>
      <c r="G15" s="38"/>
      <c r="H15" s="45"/>
      <c r="I15" s="46"/>
      <c r="J15" s="47"/>
    </row>
    <row r="16" spans="1:10" x14ac:dyDescent="0.2">
      <c r="A16" s="1"/>
      <c r="B16" s="2"/>
      <c r="C16" s="1"/>
      <c r="D16" s="1"/>
      <c r="E16" s="1"/>
      <c r="F16" s="1"/>
      <c r="G16" s="1"/>
      <c r="H16" s="1"/>
      <c r="I16" s="1"/>
      <c r="J16" s="1"/>
    </row>
    <row r="17" spans="1:12" x14ac:dyDescent="0.2">
      <c r="A17" s="26" t="s">
        <v>19</v>
      </c>
      <c r="B17" s="26" t="s">
        <v>20</v>
      </c>
      <c r="C17" s="48" t="s">
        <v>21</v>
      </c>
      <c r="D17" s="49"/>
      <c r="E17" s="48" t="s">
        <v>22</v>
      </c>
      <c r="F17" s="50"/>
      <c r="G17" s="49"/>
      <c r="H17" s="48" t="s">
        <v>23</v>
      </c>
      <c r="I17" s="49"/>
      <c r="J17" s="26" t="s">
        <v>24</v>
      </c>
    </row>
    <row r="18" spans="1:12" ht="40.75" customHeight="1" x14ac:dyDescent="0.2">
      <c r="A18" s="3">
        <v>80121706</v>
      </c>
      <c r="B18" s="4">
        <v>1</v>
      </c>
      <c r="C18" s="29" t="s">
        <v>25</v>
      </c>
      <c r="D18" s="30"/>
      <c r="E18" s="31" t="s">
        <v>31</v>
      </c>
      <c r="F18" s="32"/>
      <c r="G18" s="33"/>
      <c r="H18" s="34">
        <v>18500</v>
      </c>
      <c r="I18" s="35"/>
      <c r="J18" s="5">
        <f t="shared" ref="J18:J19" si="0">B18*H18</f>
        <v>18500</v>
      </c>
      <c r="L18" s="22"/>
    </row>
    <row r="19" spans="1:12" ht="14.5" customHeight="1" x14ac:dyDescent="0.2">
      <c r="A19" s="3"/>
      <c r="B19" s="4"/>
      <c r="C19" s="29"/>
      <c r="D19" s="30"/>
      <c r="E19" s="31"/>
      <c r="F19" s="32"/>
      <c r="G19" s="33"/>
      <c r="H19" s="34"/>
      <c r="I19" s="35"/>
      <c r="J19" s="5">
        <f t="shared" si="0"/>
        <v>0</v>
      </c>
    </row>
    <row r="20" spans="1:12" x14ac:dyDescent="0.2">
      <c r="A20" s="1"/>
      <c r="B20" s="1"/>
      <c r="C20" s="28"/>
      <c r="D20" s="28"/>
      <c r="E20" s="28"/>
      <c r="F20" s="28"/>
      <c r="G20" s="28"/>
      <c r="H20" s="28"/>
      <c r="I20" s="1"/>
      <c r="J20" s="1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6" t="s">
        <v>26</v>
      </c>
      <c r="J21" s="7">
        <f>SUM(J18:J20)</f>
        <v>18500</v>
      </c>
      <c r="K21" s="8"/>
      <c r="L21" s="9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10" t="s">
        <v>27</v>
      </c>
      <c r="J22" s="11">
        <f>J21*0.16</f>
        <v>2960</v>
      </c>
      <c r="L22" s="12"/>
    </row>
    <row r="23" spans="1:12" x14ac:dyDescent="0.2">
      <c r="A23" s="13" t="s">
        <v>28</v>
      </c>
      <c r="B23" s="14"/>
      <c r="C23" s="14"/>
      <c r="D23" s="14"/>
      <c r="E23" s="15"/>
      <c r="F23" s="1"/>
      <c r="G23" s="1"/>
      <c r="H23" s="1"/>
      <c r="I23" s="16" t="s">
        <v>24</v>
      </c>
      <c r="J23" s="17">
        <f>J21+J22</f>
        <v>21460</v>
      </c>
    </row>
    <row r="24" spans="1:12" x14ac:dyDescent="0.2">
      <c r="A24" s="18" t="s">
        <v>29</v>
      </c>
      <c r="B24" s="19"/>
      <c r="C24" s="19"/>
      <c r="D24" s="19"/>
      <c r="E24" s="20"/>
      <c r="F24" s="21"/>
      <c r="G24" s="21"/>
      <c r="H24" s="1"/>
      <c r="I24" s="1"/>
      <c r="J24" s="1"/>
    </row>
  </sheetData>
  <mergeCells count="22">
    <mergeCell ref="A9:A11"/>
    <mergeCell ref="B9:G11"/>
    <mergeCell ref="B12:G12"/>
    <mergeCell ref="B5:E5"/>
    <mergeCell ref="H5:J5"/>
    <mergeCell ref="B7:J7"/>
    <mergeCell ref="B8:G8"/>
    <mergeCell ref="H8:J12"/>
    <mergeCell ref="B13:G13"/>
    <mergeCell ref="H13:J15"/>
    <mergeCell ref="B14:G14"/>
    <mergeCell ref="B15:G15"/>
    <mergeCell ref="C17:D17"/>
    <mergeCell ref="E17:G17"/>
    <mergeCell ref="H17:I17"/>
    <mergeCell ref="C20:H20"/>
    <mergeCell ref="C18:D18"/>
    <mergeCell ref="E18:G18"/>
    <mergeCell ref="H18:I18"/>
    <mergeCell ref="C19:D19"/>
    <mergeCell ref="E19:G19"/>
    <mergeCell ref="H19:I19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5:G15" xr:uid="{118E1359-9D7B-564C-9869-62C2AE0DB602}">
      <formula1>INDIRECT(++$B$14)</formula1>
    </dataValidation>
  </dataValidations>
  <hyperlinks>
    <hyperlink ref="A24" r:id="rId1" xr:uid="{F11DFDAF-B5D7-8545-816F-A82B1297E0A0}"/>
  </hyperlinks>
  <pageMargins left="0.70866141732283472" right="0.70866141732283472" top="0.74803149606299213" bottom="0.74803149606299213" header="0.31496062992125984" footer="0.31496062992125984"/>
  <pageSetup scale="8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 MVC CESMA LABORAL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tovar</dc:creator>
  <cp:lastModifiedBy>Microsoft Office User</cp:lastModifiedBy>
  <dcterms:created xsi:type="dcterms:W3CDTF">2026-01-12T19:45:29Z</dcterms:created>
  <dcterms:modified xsi:type="dcterms:W3CDTF">2026-02-04T15:55:43Z</dcterms:modified>
</cp:coreProperties>
</file>