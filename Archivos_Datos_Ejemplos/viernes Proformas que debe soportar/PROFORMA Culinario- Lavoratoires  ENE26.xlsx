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B149A4D5-59DF-244E-80D9-74733C5735E0}" xr6:coauthVersionLast="47" xr6:coauthVersionMax="47" xr10:uidLastSave="{00000000-0000-0000-0000-000000000000}"/>
  <bookViews>
    <workbookView xWindow="0" yWindow="500" windowWidth="23260" windowHeight="12460" xr2:uid="{3D044F6E-E3DB-4B2A-B846-EE622570E130}"/>
  </bookViews>
  <sheets>
    <sheet name="EPIC CULINARIO LABORATORIES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J21" i="1" l="1"/>
  <c r="J22" i="1" s="1"/>
  <c r="J23" i="1" s="1"/>
</calcChain>
</file>

<file path=xl/sharedStrings.xml><?xml version="1.0" encoding="utf-8"?>
<sst xmlns="http://schemas.openxmlformats.org/spreadsheetml/2006/main" count="36" uniqueCount="34">
  <si>
    <t>Empresa que emite:</t>
  </si>
  <si>
    <t>TIPO DE COMPROBANTE</t>
  </si>
  <si>
    <t>INGRESO</t>
  </si>
  <si>
    <t>Cliente (Razon social):</t>
  </si>
  <si>
    <t>RFC   :</t>
  </si>
  <si>
    <t>-se encuentra en el CIF.(Cliente o razon social completa, direccion fiscal y regimen fiscal)</t>
  </si>
  <si>
    <t>DIRECCION FISCAL:
(Completa tal cual
viene en CIF)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</si>
  <si>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</si>
  <si>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</si>
  <si>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</si>
  <si>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</si>
  <si>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</si>
  <si>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</si>
  <si>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</si>
  <si>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</si>
  <si>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</si>
  <si>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</si>
  <si>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</si>
  <si>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</si>
  <si>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</si>
  <si>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</si>
  <si>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</si>
  <si>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</si>
  <si>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</si>
  <si>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</si>
  <si>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</si>
  <si>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</si>
  <si>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EPIC CULINARIO</t>
  </si>
  <si>
    <t>Servicio de alimentos</t>
  </si>
  <si>
    <t>LSM2308015ZA</t>
  </si>
  <si>
    <t>EJERCITO NACIONAL 453 PISO 14 A, COL, GRANADA, ALCALDIA MIGUEL HIDALGOM CDMX</t>
  </si>
  <si>
    <t>LABORATOIRES SVR MEXICO S.A. DE C.V.</t>
  </si>
  <si>
    <t>PPD</t>
  </si>
  <si>
    <t>Codigo Postal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</si>
</sst>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5" fillId="2" borderId="0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>
      <alignment horizontal="right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9203-FE14-432A-BBFE-01747848CD47}">
  <sheetPr>
    <pageSetUpPr fitToPage="1"/>
  </sheetPr>
  <dimension ref="A1:L24"/>
  <sheetViews>
    <sheetView tabSelected="1" topLeftCell="A2" zoomScale="85" zoomScaleNormal="85" workbookViewId="0">
      <selection activeCell="B6" sqref="B6:J6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22" t="s">
        <v>0</v>
      </c>
      <c r="B4" s="59"/>
      <c r="C4" s="59"/>
      <c r="D4" s="59"/>
      <c r="E4" s="59"/>
      <c r="F4" s="1"/>
      <c r="G4" s="22" t="s">
        <v>1</v>
      </c>
      <c r="H4" s="60" t="s">
        <v>2</v>
      </c>
      <c r="I4" s="60"/>
      <c r="J4" s="60"/>
    </row>
    <row r="5" spans="1:10" ht="19" x14ac:dyDescent="0.25">
      <c r="A5" s="2"/>
      <c r="B5" s="27" t="s">
        <v>27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22" t="s">
        <v>3</v>
      </c>
      <c r="B6" s="61" t="s">
        <v>31</v>
      </c>
      <c r="C6" s="62"/>
      <c r="D6" s="62"/>
      <c r="E6" s="62"/>
      <c r="F6" s="62"/>
      <c r="G6" s="62"/>
      <c r="H6" s="62"/>
      <c r="I6" s="62"/>
      <c r="J6" s="63"/>
    </row>
    <row r="7" spans="1:10" x14ac:dyDescent="0.2">
      <c r="A7" s="23" t="s">
        <v>4</v>
      </c>
      <c r="B7" s="42" t="s">
        <v>29</v>
      </c>
      <c r="C7" s="43"/>
      <c r="D7" s="43"/>
      <c r="E7" s="43"/>
      <c r="F7" s="43"/>
      <c r="G7" s="44"/>
      <c r="H7" s="64" t="s">
        <v>5</v>
      </c>
      <c r="I7" s="65"/>
      <c r="J7" s="66"/>
    </row>
    <row r="8" spans="1:10" ht="15" customHeight="1" x14ac:dyDescent="0.2">
      <c r="A8" s="56" t="s">
        <v>6</v>
      </c>
      <c r="B8" s="81" t="s">
        <v>33</v>
      </c>
      <c r="C8" s="82"/>
      <c r="D8">
        <v>11520</v>
      </c>
      <c r="E8" s="79"/>
      <c r="F8" s="79"/>
      <c r="G8" s="80"/>
      <c r="H8" s="67"/>
      <c r="I8" s="68"/>
      <c r="J8" s="69"/>
    </row>
    <row r="9" spans="1:10" x14ac:dyDescent="0.2">
      <c r="A9" s="57"/>
      <c r="B9" s="29" t="s">
        <v>30</v>
      </c>
      <c r="C9" s="30"/>
      <c r="D9" s="30"/>
      <c r="E9" s="30"/>
      <c r="F9" s="30"/>
      <c r="G9" s="31"/>
      <c r="H9" s="67"/>
      <c r="I9" s="68"/>
      <c r="J9" s="69"/>
    </row>
    <row r="10" spans="1:10" x14ac:dyDescent="0.2">
      <c r="A10" s="58"/>
      <c r="B10" s="32"/>
      <c r="C10" s="33"/>
      <c r="D10" s="33"/>
      <c r="E10" s="33"/>
      <c r="F10" s="33"/>
      <c r="G10" s="34"/>
      <c r="H10" s="67"/>
      <c r="I10" s="68"/>
      <c r="J10" s="69"/>
    </row>
    <row r="11" spans="1:10" x14ac:dyDescent="0.2">
      <c r="A11" s="22" t="s">
        <v>7</v>
      </c>
      <c r="B11" s="42" t="s">
        <v>8</v>
      </c>
      <c r="C11" s="43"/>
      <c r="D11" s="43"/>
      <c r="E11" s="43"/>
      <c r="F11" s="43"/>
      <c r="G11" s="44"/>
      <c r="H11" s="70"/>
      <c r="I11" s="71"/>
      <c r="J11" s="72"/>
    </row>
    <row r="12" spans="1:10" x14ac:dyDescent="0.2">
      <c r="A12" s="24" t="s">
        <v>9</v>
      </c>
      <c r="B12" s="42" t="s">
        <v>10</v>
      </c>
      <c r="C12" s="43"/>
      <c r="D12" s="43"/>
      <c r="E12" s="43"/>
      <c r="F12" s="43"/>
      <c r="G12" s="43"/>
      <c r="H12" s="45" t="s">
        <v>11</v>
      </c>
      <c r="I12" s="46"/>
      <c r="J12" s="47"/>
    </row>
    <row r="13" spans="1:10" x14ac:dyDescent="0.2">
      <c r="A13" s="24" t="s">
        <v>12</v>
      </c>
      <c r="B13" s="42" t="s">
        <v>13</v>
      </c>
      <c r="C13" s="43"/>
      <c r="D13" s="43"/>
      <c r="E13" s="43"/>
      <c r="F13" s="43"/>
      <c r="G13" s="43"/>
      <c r="H13" s="48"/>
      <c r="I13" s="75"/>
      <c r="J13" s="49"/>
    </row>
    <row r="14" spans="1:10" hidden="1" x14ac:dyDescent="0.2">
      <c r="A14" s="24" t="s">
        <v>14</v>
      </c>
      <c r="B14" s="42" t="s">
        <v>15</v>
      </c>
      <c r="C14" s="43"/>
      <c r="D14" s="43"/>
      <c r="E14" s="43"/>
      <c r="F14" s="43"/>
      <c r="G14" s="43"/>
      <c r="H14" s="50"/>
      <c r="I14" s="51"/>
      <c r="J14" s="52"/>
    </row>
    <row r="15" spans="1:10" x14ac:dyDescent="0.2">
      <c r="A15" s="24" t="s">
        <v>14</v>
      </c>
      <c r="B15" s="73" t="s">
        <v>32</v>
      </c>
      <c r="C15" s="74"/>
      <c r="D15" s="74"/>
      <c r="E15" s="74"/>
      <c r="F15" s="74"/>
      <c r="G15" s="74"/>
      <c r="H15" s="76"/>
      <c r="I15" s="77"/>
      <c r="J15" s="78"/>
    </row>
    <row r="16" spans="1:10" x14ac:dyDescent="0.2">
      <c r="A16" s="1"/>
      <c r="B16" s="2"/>
      <c r="C16" s="1"/>
      <c r="D16" s="1"/>
      <c r="E16" s="1"/>
      <c r="F16" s="1"/>
      <c r="G16" s="1"/>
      <c r="H16" s="1"/>
      <c r="I16" s="1"/>
      <c r="J16" s="1"/>
    </row>
    <row r="17" spans="1:12" x14ac:dyDescent="0.2">
      <c r="A17" s="25" t="s">
        <v>16</v>
      </c>
      <c r="B17" s="25" t="s">
        <v>17</v>
      </c>
      <c r="C17" s="53" t="s">
        <v>18</v>
      </c>
      <c r="D17" s="54"/>
      <c r="E17" s="53" t="s">
        <v>19</v>
      </c>
      <c r="F17" s="55"/>
      <c r="G17" s="54"/>
      <c r="H17" s="53" t="s">
        <v>20</v>
      </c>
      <c r="I17" s="54"/>
      <c r="J17" s="25" t="s">
        <v>21</v>
      </c>
    </row>
    <row r="18" spans="1:12" ht="40.75" customHeight="1" x14ac:dyDescent="0.2">
      <c r="A18" s="26">
        <v>90101600</v>
      </c>
      <c r="B18" s="4">
        <v>1</v>
      </c>
      <c r="C18" s="35" t="s">
        <v>22</v>
      </c>
      <c r="D18" s="36"/>
      <c r="E18" s="37" t="s">
        <v>28</v>
      </c>
      <c r="F18" s="38"/>
      <c r="G18" s="39"/>
      <c r="H18" s="40">
        <v>8000</v>
      </c>
      <c r="I18" s="41"/>
      <c r="J18" s="5">
        <f t="shared" ref="J18:J19" si="0">B18*H18</f>
        <v>8000</v>
      </c>
    </row>
    <row r="19" spans="1:12" ht="14.5" customHeight="1" x14ac:dyDescent="0.2">
      <c r="A19" s="3"/>
      <c r="B19" s="4"/>
      <c r="C19" s="35"/>
      <c r="D19" s="36"/>
      <c r="E19" s="37"/>
      <c r="F19" s="38"/>
      <c r="G19" s="39"/>
      <c r="H19" s="40"/>
      <c r="I19" s="41"/>
      <c r="J19" s="5">
        <f t="shared" si="0"/>
        <v>0</v>
      </c>
    </row>
    <row r="20" spans="1:12" x14ac:dyDescent="0.2">
      <c r="A20" s="1"/>
      <c r="B20" s="1"/>
      <c r="C20" s="28"/>
      <c r="D20" s="28"/>
      <c r="E20" s="28"/>
      <c r="F20" s="28"/>
      <c r="G20" s="28"/>
      <c r="H20" s="28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6" t="s">
        <v>23</v>
      </c>
      <c r="J21" s="7">
        <f>SUM(J18:J20)</f>
        <v>8000</v>
      </c>
      <c r="K21" s="8"/>
      <c r="L21" s="9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0" t="s">
        <v>24</v>
      </c>
      <c r="J22" s="11">
        <f>J21*0.16</f>
        <v>1280</v>
      </c>
      <c r="L22" s="12"/>
    </row>
    <row r="23" spans="1:12" x14ac:dyDescent="0.2">
      <c r="A23" s="13" t="s">
        <v>25</v>
      </c>
      <c r="B23" s="14"/>
      <c r="C23" s="14"/>
      <c r="D23" s="14"/>
      <c r="E23" s="15"/>
      <c r="F23" s="1"/>
      <c r="G23" s="1"/>
      <c r="H23" s="1"/>
      <c r="I23" s="16" t="s">
        <v>21</v>
      </c>
      <c r="J23" s="17">
        <f>J21+J22</f>
        <v>9280</v>
      </c>
    </row>
    <row r="24" spans="1:12" x14ac:dyDescent="0.2">
      <c r="A24" s="18" t="s">
        <v>26</v>
      </c>
      <c r="B24" s="19"/>
      <c r="C24" s="19"/>
      <c r="D24" s="19"/>
      <c r="E24" s="20"/>
      <c r="F24" s="21"/>
      <c r="G24" s="21"/>
      <c r="H24" s="1"/>
      <c r="I24" s="1"/>
      <c r="J24" s="1"/>
    </row>
  </sheetData>
  <mergeCells count="24">
    <mergeCell ref="A8:A10"/>
    <mergeCell ref="B11:G11"/>
    <mergeCell ref="B4:E4"/>
    <mergeCell ref="H4:J4"/>
    <mergeCell ref="B6:J6"/>
    <mergeCell ref="B7:G7"/>
    <mergeCell ref="H7:J11"/>
    <mergeCell ref="B8:C8"/>
    <mergeCell ref="C20:H20"/>
    <mergeCell ref="B9:G10"/>
    <mergeCell ref="C18:D18"/>
    <mergeCell ref="E18:G18"/>
    <mergeCell ref="H18:I18"/>
    <mergeCell ref="C19:D19"/>
    <mergeCell ref="E19:G19"/>
    <mergeCell ref="H19:I19"/>
    <mergeCell ref="B12:G12"/>
    <mergeCell ref="H12:J14"/>
    <mergeCell ref="B13:G13"/>
    <mergeCell ref="B14:G14"/>
    <mergeCell ref="C17:D17"/>
    <mergeCell ref="E17:G17"/>
    <mergeCell ref="H17:I17"/>
    <mergeCell ref="B15:G15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4:G14" xr:uid="{81ED6B99-7B80-45FA-A105-A6194678201C}">
      <formula1>INDIRECT(++$B$13)</formula1>
    </dataValidation>
  </dataValidations>
  <hyperlinks>
    <hyperlink ref="A24" r:id="rId1" xr:uid="{2B46612A-A104-4CB5-9712-0CD149B6A928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EPIC CULINARIO LABORATORIES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2026-01-12T19:39:36Z</dcterms:created>
  <dcterms:modified xsi:type="dcterms:W3CDTF">2026-01-20T21:16:27Z</dcterms:modified>
</cp:coreProperties>
</file>