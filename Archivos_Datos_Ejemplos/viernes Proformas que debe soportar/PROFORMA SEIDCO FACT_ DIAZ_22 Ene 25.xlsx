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9582D4A0-E02F-8349-A27D-0BD0354AB767}" xr6:coauthVersionLast="47" xr6:coauthVersionMax="47" xr10:uidLastSave="{00000000-0000-0000-0000-000000000000}"/>
  <bookViews>
    <workbookView xWindow="0" yWindow="500" windowWidth="24340" windowHeight="16500" xr2:uid="{00000000-000D-0000-FFFF-FFFF00000000}"/>
  </bookViews>
  <sheets>
    <sheet name="FACTURA" sheetId="6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3" i="6" l="1"/>
  <c r="J22" i="6"/>
  <c r="J21" i="6"/>
  <c r="J20" i="6"/>
  <c r="J19" i="6"/>
  <c r="J18" i="6"/>
  <c r="J17" i="6"/>
  <c r="J15" i="6"/>
  <c r="J25" i="6" s="1"/>
  <c r="J26" i="6" l="1"/>
  <c r="J27" i="6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<sst xmlns="http://schemas.openxmlformats.org/spreadsheetml/2006/main" count="110" uniqueCount="103">
  <si>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</si>
  <si>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</si>
  <si>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</si>
  <si>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</si>
  <si>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</si>
  <si>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</si>
  <si>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</si>
  <si>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</si>
  <si>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</si>
  <si>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</si>
  <si>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</si>
  <si>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</si>
  <si>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</si>
  <si>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</si>
  <si>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</si>
  <si>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</si>
  <si>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</si>
  <si>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</si>
  <si>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</si>
  <si>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</si>
  <si>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</si>
  <si>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</si>
  <si>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</si>
  <si>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</si>
  <si>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</si>
  <si>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</si>
  <si>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</si>
  <si>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</si>
  <si>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</si>
  <si>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</si>
  <si>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</si>
  <si>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</si>
  <si>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</si>
  <si>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</si>
  <si>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</si>
  <si>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</si>
  <si>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</si>
  <si>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</si>
  <si>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</si>
  <si>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</si>
  <si>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</si>
  <si>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</si>
  <si>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</si>
  <si>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</si>
  <si>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</si>
  <si>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</si>
  <si>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</si>
  <si>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</si>
  <si>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</si>
  <si>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</si>
  <si>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</si>
  <si>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</si>
  <si>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</si>
  <si>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</si>
  <si>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</si>
  <si>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</si>
  <si>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</si>
  <si>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</si>
  <si>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</si>
  <si>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</si>
  <si>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</si>
  <si>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</si>
  <si>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</si>
  <si>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</si>
  <si>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</si>
  <si>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</si>
  <si>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</si>
  <si>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</si>
  <si>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</si>
  <si>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</si>
  <si>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</si>
  <si>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</si>
  <si>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</si>
  <si>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</si>
  <si>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</si>
  <si>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</si>
  <si>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</si>
  <si>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</si>
  <si>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</si>
  <si>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</si>
  <si>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</si>
  <si>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</si>
  <si>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</si>
  <si>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</si>
  <si>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</si>
  <si>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</si>
  <si>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</si>
  <si>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</si>
  <si>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</si>
  <si>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</si>
  <si>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</si>
  <si>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</si>
  <si>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</si>
  <si>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</si>
  <si>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</si>
  <si>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</si>
  <si>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</si>
  <si>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</si>
  <si>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>JORGE JESUS DIAZ RODRIGUEZ</t>
  </si>
  <si>
    <t>DIRJ820601U82</t>
  </si>
  <si>
    <t>MOCTEZUMA 392,COLONIA BARRIO SAN MIGUEL, ALCALDIA IZTAPALAPA,C.P. 09360, CDMX</t>
  </si>
  <si>
    <t>De acuerdo al contrato: Servicio de limpieza de pisos; Suministro de material para limpieza y desinfeccion de pisos en general, aplicación de productos en proporcion indicada en especificaciones por medio de fibras, jergas y/o mechudos. Periodo 1 de 12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</si>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</sst>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94A9-F576-494C-A598-420269E236C9}">
  <dimension ref="A1:J28"/>
  <sheetViews>
    <sheetView tabSelected="1" zoomScale="161" zoomScaleNormal="85" workbookViewId="0">
      <selection activeCell="B4" sqref="B4:J4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1" t="s">
        <v>11</v>
      </c>
      <c r="B2" s="64"/>
      <c r="C2" s="65"/>
      <c r="D2" s="65"/>
      <c r="E2" s="66"/>
      <c r="F2" s="1"/>
      <c r="G2" s="21" t="s">
        <v>9</v>
      </c>
      <c r="H2" s="67" t="s">
        <v>10</v>
      </c>
      <c r="I2" s="67"/>
      <c r="J2" s="67"/>
    </row>
    <row r="3" spans="1:10" x14ac:dyDescent="0.2">
      <c r="A3" s="3"/>
      <c r="B3" s="3" t="s">
        <v>102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21" t="s">
        <v>83</v>
      </c>
      <c r="B4" s="64" t="s">
        <v>98</v>
      </c>
      <c r="C4" s="65"/>
      <c r="D4" s="65"/>
      <c r="E4" s="65"/>
      <c r="F4" s="65"/>
      <c r="G4" s="65"/>
      <c r="H4" s="65"/>
      <c r="I4" s="65"/>
      <c r="J4" s="66"/>
    </row>
    <row r="5" spans="1:10" ht="15" customHeight="1" x14ac:dyDescent="0.2">
      <c r="A5" s="22" t="s">
        <v>76</v>
      </c>
      <c r="B5" s="68" t="s">
        <v>99</v>
      </c>
      <c r="C5" s="69"/>
      <c r="D5" s="69"/>
      <c r="E5" s="69"/>
      <c r="F5" s="69"/>
      <c r="G5" s="70"/>
      <c r="H5" s="71" t="s">
        <v>82</v>
      </c>
      <c r="I5" s="72"/>
      <c r="J5" s="73"/>
    </row>
    <row r="6" spans="1:10" ht="15" customHeight="1" x14ac:dyDescent="0.2">
      <c r="A6" s="52" t="s">
        <v>77</v>
      </c>
      <c r="B6" s="55" t="s">
        <v>100</v>
      </c>
      <c r="C6" s="56"/>
      <c r="D6" s="56"/>
      <c r="E6" s="56"/>
      <c r="F6" s="56"/>
      <c r="G6" s="57"/>
      <c r="H6" s="74"/>
      <c r="I6" s="75"/>
      <c r="J6" s="76"/>
    </row>
    <row r="7" spans="1:10" x14ac:dyDescent="0.2">
      <c r="A7" s="53"/>
      <c r="B7" s="58"/>
      <c r="C7" s="59"/>
      <c r="D7" s="59"/>
      <c r="E7" s="59"/>
      <c r="F7" s="59"/>
      <c r="G7" s="60"/>
      <c r="H7" s="74"/>
      <c r="I7" s="75"/>
      <c r="J7" s="76"/>
    </row>
    <row r="8" spans="1:10" x14ac:dyDescent="0.2">
      <c r="A8" s="54"/>
      <c r="B8" s="61"/>
      <c r="C8" s="62"/>
      <c r="D8" s="62"/>
      <c r="E8" s="62"/>
      <c r="F8" s="62"/>
      <c r="G8" s="63"/>
      <c r="H8" s="74"/>
      <c r="I8" s="75"/>
      <c r="J8" s="76"/>
    </row>
    <row r="9" spans="1:10" x14ac:dyDescent="0.2">
      <c r="A9" s="21" t="s">
        <v>78</v>
      </c>
      <c r="B9" s="37" t="s">
        <v>25</v>
      </c>
      <c r="C9" s="38"/>
      <c r="D9" s="38"/>
      <c r="E9" s="38"/>
      <c r="F9" s="38"/>
      <c r="G9" s="39"/>
      <c r="H9" s="77"/>
      <c r="I9" s="78"/>
      <c r="J9" s="79"/>
    </row>
    <row r="10" spans="1:10" ht="15" customHeight="1" x14ac:dyDescent="0.2">
      <c r="A10" s="23" t="s">
        <v>79</v>
      </c>
      <c r="B10" s="37" t="s">
        <v>41</v>
      </c>
      <c r="C10" s="38"/>
      <c r="D10" s="38"/>
      <c r="E10" s="38"/>
      <c r="F10" s="38"/>
      <c r="G10" s="39"/>
      <c r="H10" s="40" t="s">
        <v>75</v>
      </c>
      <c r="I10" s="41"/>
      <c r="J10" s="42"/>
    </row>
    <row r="11" spans="1:10" x14ac:dyDescent="0.2">
      <c r="A11" s="23" t="s">
        <v>80</v>
      </c>
      <c r="B11" s="37" t="s">
        <v>53</v>
      </c>
      <c r="C11" s="38"/>
      <c r="D11" s="38"/>
      <c r="E11" s="38"/>
      <c r="F11" s="38"/>
      <c r="G11" s="39"/>
      <c r="H11" s="43"/>
      <c r="I11" s="44"/>
      <c r="J11" s="45"/>
    </row>
    <row r="12" spans="1:10" x14ac:dyDescent="0.2">
      <c r="A12" s="23" t="s">
        <v>81</v>
      </c>
      <c r="B12" s="37" t="s">
        <v>55</v>
      </c>
      <c r="C12" s="38"/>
      <c r="D12" s="38"/>
      <c r="E12" s="38"/>
      <c r="F12" s="38"/>
      <c r="G12" s="39"/>
      <c r="H12" s="46"/>
      <c r="I12" s="47"/>
      <c r="J12" s="48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24" t="s">
        <v>2</v>
      </c>
      <c r="B14" s="24" t="s">
        <v>3</v>
      </c>
      <c r="C14" s="49" t="s">
        <v>4</v>
      </c>
      <c r="D14" s="50"/>
      <c r="E14" s="49" t="s">
        <v>5</v>
      </c>
      <c r="F14" s="51"/>
      <c r="G14" s="50"/>
      <c r="H14" s="49" t="s">
        <v>6</v>
      </c>
      <c r="I14" s="50"/>
      <c r="J14" s="24" t="s">
        <v>7</v>
      </c>
    </row>
    <row r="15" spans="1:10" ht="104.5" customHeight="1" x14ac:dyDescent="0.2">
      <c r="A15" s="4">
        <v>72101508</v>
      </c>
      <c r="B15" s="11">
        <v>1</v>
      </c>
      <c r="C15" s="25" t="s">
        <v>57</v>
      </c>
      <c r="D15" s="26"/>
      <c r="E15" s="27" t="s">
        <v>101</v>
      </c>
      <c r="F15" s="28"/>
      <c r="G15" s="29"/>
      <c r="H15" s="30">
        <v>145258.62</v>
      </c>
      <c r="I15" s="31"/>
      <c r="J15" s="10">
        <f t="shared" ref="J15:J23" si="0">B15*H15</f>
        <v>145258.62</v>
      </c>
    </row>
    <row r="16" spans="1:10" ht="109.5" customHeight="1" x14ac:dyDescent="0.2">
      <c r="A16" s="4"/>
      <c r="B16" s="11"/>
      <c r="C16" s="25"/>
      <c r="D16" s="26"/>
      <c r="E16" s="34"/>
      <c r="F16" s="35"/>
      <c r="G16" s="36"/>
      <c r="H16" s="30"/>
      <c r="I16" s="31"/>
      <c r="J16" s="10"/>
    </row>
    <row r="17" spans="1:10" hidden="1" x14ac:dyDescent="0.2">
      <c r="A17" s="4"/>
      <c r="B17" s="11"/>
      <c r="C17" s="25"/>
      <c r="D17" s="26"/>
      <c r="E17" s="27"/>
      <c r="F17" s="28"/>
      <c r="G17" s="29"/>
      <c r="H17" s="13"/>
      <c r="I17" s="14"/>
      <c r="J17" s="10">
        <f t="shared" si="0"/>
        <v>0</v>
      </c>
    </row>
    <row r="18" spans="1:10" hidden="1" x14ac:dyDescent="0.2">
      <c r="A18" s="4"/>
      <c r="B18" s="11"/>
      <c r="C18" s="25"/>
      <c r="D18" s="26"/>
      <c r="E18" s="27"/>
      <c r="F18" s="28"/>
      <c r="G18" s="29"/>
      <c r="H18" s="13"/>
      <c r="I18" s="14"/>
      <c r="J18" s="10">
        <f t="shared" si="0"/>
        <v>0</v>
      </c>
    </row>
    <row r="19" spans="1:10" hidden="1" x14ac:dyDescent="0.2">
      <c r="A19" s="4"/>
      <c r="B19" s="11"/>
      <c r="C19" s="25"/>
      <c r="D19" s="26"/>
      <c r="E19" s="27"/>
      <c r="F19" s="28"/>
      <c r="G19" s="29"/>
      <c r="H19" s="13"/>
      <c r="I19" s="14"/>
      <c r="J19" s="10">
        <f t="shared" si="0"/>
        <v>0</v>
      </c>
    </row>
    <row r="20" spans="1:10" hidden="1" x14ac:dyDescent="0.2">
      <c r="A20" s="4"/>
      <c r="B20" s="11"/>
      <c r="C20" s="25"/>
      <c r="D20" s="26"/>
      <c r="E20" s="27"/>
      <c r="F20" s="28"/>
      <c r="G20" s="29"/>
      <c r="H20" s="13"/>
      <c r="I20" s="14"/>
      <c r="J20" s="10">
        <f t="shared" si="0"/>
        <v>0</v>
      </c>
    </row>
    <row r="21" spans="1:10" hidden="1" x14ac:dyDescent="0.2">
      <c r="A21" s="4"/>
      <c r="B21" s="11"/>
      <c r="C21" s="25"/>
      <c r="D21" s="26"/>
      <c r="E21" s="27"/>
      <c r="F21" s="28"/>
      <c r="G21" s="29"/>
      <c r="H21" s="30"/>
      <c r="I21" s="31"/>
      <c r="J21" s="10">
        <f t="shared" si="0"/>
        <v>0</v>
      </c>
    </row>
    <row r="22" spans="1:10" hidden="1" x14ac:dyDescent="0.2">
      <c r="A22" s="4"/>
      <c r="B22" s="11"/>
      <c r="C22" s="25"/>
      <c r="D22" s="26"/>
      <c r="E22" s="27"/>
      <c r="F22" s="28"/>
      <c r="G22" s="29"/>
      <c r="H22" s="30"/>
      <c r="I22" s="31"/>
      <c r="J22" s="10">
        <f t="shared" si="0"/>
        <v>0</v>
      </c>
    </row>
    <row r="23" spans="1:10" ht="11.25" hidden="1" customHeight="1" x14ac:dyDescent="0.2">
      <c r="A23" s="4"/>
      <c r="B23" s="11"/>
      <c r="C23" s="25"/>
      <c r="D23" s="26"/>
      <c r="E23" s="27"/>
      <c r="F23" s="28"/>
      <c r="G23" s="29"/>
      <c r="H23" s="30"/>
      <c r="I23" s="31"/>
      <c r="J23" s="10">
        <f t="shared" si="0"/>
        <v>0</v>
      </c>
    </row>
    <row r="24" spans="1:10" x14ac:dyDescent="0.2">
      <c r="A24" s="1"/>
      <c r="B24" s="1"/>
      <c r="C24" s="32"/>
      <c r="D24" s="32"/>
      <c r="E24" s="32"/>
      <c r="F24" s="32"/>
      <c r="G24" s="32"/>
      <c r="H24" s="33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5" t="s">
        <v>8</v>
      </c>
      <c r="J25" s="6">
        <f>SUM(J15:J24)</f>
        <v>145258.62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7" t="s">
        <v>84</v>
      </c>
      <c r="J26" s="8">
        <f>J25*0.16</f>
        <v>23241.379199999999</v>
      </c>
    </row>
    <row r="27" spans="1:10" x14ac:dyDescent="0.2">
      <c r="A27" s="15" t="s">
        <v>96</v>
      </c>
      <c r="B27" s="16"/>
      <c r="C27" s="16"/>
      <c r="D27" s="16"/>
      <c r="E27" s="17"/>
      <c r="F27" s="1"/>
      <c r="G27" s="1"/>
      <c r="H27" s="1"/>
      <c r="I27" s="2" t="s">
        <v>7</v>
      </c>
      <c r="J27" s="9">
        <f>J25+J26</f>
        <v>168499.99919999999</v>
      </c>
    </row>
    <row r="28" spans="1:10" x14ac:dyDescent="0.2">
      <c r="A28" s="20" t="s">
        <v>97</v>
      </c>
      <c r="B28" s="18"/>
      <c r="C28" s="18"/>
      <c r="D28" s="18"/>
      <c r="E28" s="19"/>
      <c r="F28" s="12"/>
      <c r="G28" s="12"/>
      <c r="H28" s="1"/>
      <c r="I28" s="1"/>
      <c r="J28" s="1"/>
    </row>
  </sheetData>
  <mergeCells count="39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E16:G16"/>
    <mergeCell ref="H16:I16"/>
    <mergeCell ref="C17:D17"/>
    <mergeCell ref="E17:G17"/>
    <mergeCell ref="C18:D18"/>
    <mergeCell ref="E18:G18"/>
    <mergeCell ref="C19:D19"/>
    <mergeCell ref="E19:G19"/>
    <mergeCell ref="C23:D23"/>
    <mergeCell ref="E23:G23"/>
    <mergeCell ref="H23:I23"/>
    <mergeCell ref="C24:H24"/>
    <mergeCell ref="C20:D20"/>
    <mergeCell ref="E20:G20"/>
    <mergeCell ref="C21:D21"/>
    <mergeCell ref="E21:G21"/>
    <mergeCell ref="H21:I21"/>
    <mergeCell ref="C22:D22"/>
    <mergeCell ref="E22:G22"/>
    <mergeCell ref="H22:I22"/>
  </mergeCells>
  <hyperlinks>
    <hyperlink ref="A28" r:id="rId1" xr:uid="{AE5994C0-F321-4838-AE6C-326512012269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errorTitle="Entrada no valida" error="Seleccione una empresa de la lista" promptTitle="EMPRESAS" prompt="Seleccione una empresa de la lista" xr:uid="{E7C649B4-2F44-458D-8AFD-65C3A03D2F58}">
          <x14:formula1>
            <xm:f>Hoja1!$A$36:$A$43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E1B5BA92-44B9-4E1E-8732-4AC9023E027F}">
          <x14:formula1>
            <xm:f>Hoja1!$C$26:$C$41</xm:f>
          </x14:formula1>
          <xm:sqref>C16:D22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D86DA08E-1C79-45C8-85F2-41C488AA66AC}">
          <x14:formula1>
            <xm:f>Hoja1!$C$26:$C$40</xm:f>
          </x14:formula1>
          <xm:sqref>C23:D23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85</v>
      </c>
      <c r="C37" t="s">
        <v>68</v>
      </c>
    </row>
    <row r="38" spans="1:3" x14ac:dyDescent="0.2">
      <c r="A38" t="s">
        <v>87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89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74</v>
      </c>
      <c r="C42" t="s">
        <v>73</v>
      </c>
    </row>
    <row r="43" spans="1:3" x14ac:dyDescent="0.2">
      <c r="A43" t="s">
        <v>88</v>
      </c>
      <c r="C43" t="s">
        <v>92</v>
      </c>
    </row>
    <row r="44" spans="1:3" x14ac:dyDescent="0.2">
      <c r="C44" t="s">
        <v>86</v>
      </c>
    </row>
    <row r="45" spans="1:3" x14ac:dyDescent="0.2">
      <c r="C45" t="s">
        <v>90</v>
      </c>
    </row>
    <row r="46" spans="1:3" x14ac:dyDescent="0.2">
      <c r="C46" t="s">
        <v>91</v>
      </c>
    </row>
    <row r="47" spans="1:3" x14ac:dyDescent="0.2">
      <c r="C47" t="s">
        <v>93</v>
      </c>
    </row>
    <row r="48" spans="1:3" x14ac:dyDescent="0.2">
      <c r="C48" t="s">
        <v>94</v>
      </c>
    </row>
    <row r="49" spans="3:3" x14ac:dyDescent="0.2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2026-01-22T18:13:04Z</dcterms:modified>
</cp:coreProperties>
</file>