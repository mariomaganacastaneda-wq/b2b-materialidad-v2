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1DE3CA5E-0C53-D047-865C-92DE5EC91400}" xr6:coauthVersionLast="47" xr6:coauthVersionMax="47" xr10:uidLastSave="{00000000-0000-0000-0000-000000000000}"/>
  <bookViews>
    <workbookView xWindow="13800" yWindow="500" windowWidth="15000" windowHeight="14040" xr2:uid="{3AF23656-7170-47F3-B698-8DA2324E716D}"/>
  </bookViews>
  <sheets>
    <sheet name="FAC SEIDCO CESMA PROCESOS OPERA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<sst xmlns="http://schemas.openxmlformats.org/spreadsheetml/2006/main" count="33" uniqueCount="32">
  <si>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</si>
  <si>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</si>
  <si>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</si>
  <si>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SEIDCO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</si>
  <si>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</si>
  <si>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</si>
  <si>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</si>
  <si>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</si>
  <si>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</si>
  <si>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</si>
  <si>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</si>
  <si>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</si>
  <si>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</si>
  <si>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</si>
  <si>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</si>
  <si>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</si>
  <si>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</si>
  <si>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</si>
  <si>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</si>
  <si>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</si>
  <si>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</si>
  <si>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</si>
  <si>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</si>
  <si>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</si>
  <si>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</si>
  <si>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</si>
  <si>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</si>
  <si>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</si>
  <si>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</si>
  <si>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</si>
  <si>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</si>
  <si>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3er. PAGO  DE 24 QUINCENAL POR SERVICIOS DE GESTION Y  CONSULTORIA EN PROCESOS OPERATIVOS , DE CONFORMIDAD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</si>
</sst>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A0A0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3604-98DC-D74F-A85D-7A433E3791C4}">
  <sheetPr>
    <pageSetUpPr fitToPage="1"/>
  </sheetPr>
  <dimension ref="A1:L24"/>
  <sheetViews>
    <sheetView tabSelected="1" zoomScale="85" zoomScaleNormal="85" workbookViewId="0">
      <selection activeCell="E15" sqref="E15:G1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43"/>
      <c r="C2" s="43"/>
      <c r="D2" s="43"/>
      <c r="E2" s="43"/>
      <c r="F2" s="1"/>
      <c r="G2" s="24" t="s">
        <v>1</v>
      </c>
      <c r="H2" s="44" t="s">
        <v>2</v>
      </c>
      <c r="I2" s="44"/>
      <c r="J2" s="44"/>
    </row>
    <row r="3" spans="1:12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2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2" x14ac:dyDescent="0.2">
      <c r="A5" s="2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2" x14ac:dyDescent="0.2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2" x14ac:dyDescent="0.2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2" x14ac:dyDescent="0.2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2" x14ac:dyDescent="0.2">
      <c r="A9" s="2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2" x14ac:dyDescent="0.2">
      <c r="A10" s="2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2" x14ac:dyDescent="0.2">
      <c r="A11" s="2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2" x14ac:dyDescent="0.2">
      <c r="A12" s="2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27" t="s">
        <v>20</v>
      </c>
      <c r="B14" s="2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27" t="s">
        <v>25</v>
      </c>
    </row>
    <row r="15" spans="1:12" ht="55" customHeight="1" x14ac:dyDescent="0.2">
      <c r="A15" s="4">
        <v>80101500</v>
      </c>
      <c r="B15" s="5">
        <v>1</v>
      </c>
      <c r="C15" s="72" t="s">
        <v>26</v>
      </c>
      <c r="D15" s="73"/>
      <c r="E15" s="74" t="s">
        <v>31</v>
      </c>
      <c r="F15" s="75"/>
      <c r="G15" s="76"/>
      <c r="H15" s="77">
        <v>17900</v>
      </c>
      <c r="I15" s="78"/>
      <c r="J15" s="6">
        <f t="shared" ref="J15:J19" si="0">B15*H15</f>
        <v>17900</v>
      </c>
      <c r="L15" s="23"/>
    </row>
    <row r="16" spans="1:12" ht="14.5" customHeight="1" x14ac:dyDescent="0.2">
      <c r="A16" s="4"/>
      <c r="B16" s="5"/>
      <c r="C16" s="72"/>
      <c r="D16" s="73"/>
      <c r="E16" s="74"/>
      <c r="F16" s="75"/>
      <c r="G16" s="76"/>
      <c r="H16" s="77"/>
      <c r="I16" s="78"/>
      <c r="J16" s="6">
        <f t="shared" si="0"/>
        <v>0</v>
      </c>
    </row>
    <row r="17" spans="1:12" ht="14.5" customHeight="1" x14ac:dyDescent="0.2">
      <c r="A17" s="4"/>
      <c r="B17" s="5"/>
      <c r="C17" s="72"/>
      <c r="D17" s="73"/>
      <c r="E17" s="74"/>
      <c r="F17" s="75"/>
      <c r="G17" s="76"/>
      <c r="H17" s="77"/>
      <c r="I17" s="78"/>
      <c r="J17" s="6">
        <f t="shared" si="0"/>
        <v>0</v>
      </c>
    </row>
    <row r="18" spans="1:12" ht="14.5" customHeight="1" x14ac:dyDescent="0.2">
      <c r="A18" s="4"/>
      <c r="B18" s="5"/>
      <c r="C18" s="72"/>
      <c r="D18" s="73"/>
      <c r="E18" s="74"/>
      <c r="F18" s="75"/>
      <c r="G18" s="76"/>
      <c r="H18" s="77"/>
      <c r="I18" s="78"/>
      <c r="J18" s="6">
        <f t="shared" si="0"/>
        <v>0</v>
      </c>
    </row>
    <row r="19" spans="1:12" ht="14.5" customHeight="1" x14ac:dyDescent="0.2">
      <c r="A19" s="4"/>
      <c r="B19" s="5"/>
      <c r="C19" s="72"/>
      <c r="D19" s="73"/>
      <c r="E19" s="74"/>
      <c r="F19" s="75"/>
      <c r="G19" s="76"/>
      <c r="H19" s="77"/>
      <c r="I19" s="78"/>
      <c r="J19" s="6">
        <f t="shared" si="0"/>
        <v>0</v>
      </c>
    </row>
    <row r="20" spans="1:12" x14ac:dyDescent="0.2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7" t="s">
        <v>27</v>
      </c>
      <c r="J21" s="8">
        <f>SUM(J15:J20)</f>
        <v>17900</v>
      </c>
      <c r="K21" s="9"/>
      <c r="L21" s="10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1" t="s">
        <v>28</v>
      </c>
      <c r="J22" s="12">
        <f>J21*0.16</f>
        <v>2864</v>
      </c>
      <c r="L22" s="13"/>
    </row>
    <row r="23" spans="1:12" x14ac:dyDescent="0.2">
      <c r="A23" s="14" t="s">
        <v>29</v>
      </c>
      <c r="B23" s="15"/>
      <c r="C23" s="15"/>
      <c r="D23" s="15"/>
      <c r="E23" s="16"/>
      <c r="F23" s="1"/>
      <c r="G23" s="1"/>
      <c r="H23" s="1"/>
      <c r="I23" s="17" t="s">
        <v>25</v>
      </c>
      <c r="J23" s="18">
        <f>J21+J22</f>
        <v>20764</v>
      </c>
    </row>
    <row r="24" spans="1:12" x14ac:dyDescent="0.2">
      <c r="A24" s="19" t="s">
        <v>30</v>
      </c>
      <c r="B24" s="20"/>
      <c r="C24" s="20"/>
      <c r="D24" s="20"/>
      <c r="E24" s="21"/>
      <c r="F24" s="22"/>
      <c r="G24" s="22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4673CD29-D45E-044D-B8F0-9AE42B0781ED}">
      <formula1>INDIRECT(++$B$11)</formula1>
    </dataValidation>
  </dataValidations>
  <hyperlinks>
    <hyperlink ref="A24" r:id="rId1" xr:uid="{0EA729A9-9ADC-2F4A-8893-BAB1E2D5D125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 SEIDCO CESMA PROCESOS OPERA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2026-01-12T19:54:40Z</dcterms:created>
  <dcterms:modified xsi:type="dcterms:W3CDTF">2026-02-03T19:35:35Z</dcterms:modified>
</cp:coreProperties>
</file>