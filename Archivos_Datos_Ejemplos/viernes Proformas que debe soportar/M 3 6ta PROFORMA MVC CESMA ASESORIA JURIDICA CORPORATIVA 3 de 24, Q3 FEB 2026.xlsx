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704FE647-FE9F-0E41-A2FA-F59994AC4EB0}" xr6:coauthVersionLast="47" xr6:coauthVersionMax="47" xr10:uidLastSave="{00000000-0000-0000-0000-000000000000}"/>
  <bookViews>
    <workbookView xWindow="13640" yWindow="500" windowWidth="14640" windowHeight="13940" xr2:uid="{EFF9E8C9-F094-4968-A4EE-796E6F48DAE6}"/>
  </bookViews>
  <sheets>
    <sheet name="FACTURA MAGAÑA CESMA JURIDICO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J21" i="2"/>
  <c r="J20" i="2"/>
  <c r="J19" i="2"/>
  <c r="J18" i="2"/>
  <c r="J24" i="2" l="1"/>
  <c r="J25" i="2" s="1"/>
  <c r="J26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<sst xmlns="http://schemas.openxmlformats.org/spreadsheetml/2006/main" count="33" uniqueCount="32">
  <si>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</si>
  <si>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</si>
  <si>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</si>
  <si>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</si>
  <si>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</si>
  <si>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</si>
  <si>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</si>
  <si>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</si>
  <si>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</si>
  <si>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</si>
  <si>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</si>
  <si>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</si>
  <si>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</si>
  <si>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</si>
  <si>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</si>
  <si>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</si>
  <si>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</si>
  <si>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</si>
  <si>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</si>
  <si>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</si>
  <si>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</si>
  <si>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</si>
  <si>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</si>
  <si>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</si>
  <si>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</si>
  <si>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</si>
  <si>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</si>
  <si>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</si>
  <si>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</si>
  <si>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</si>
  <si>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3 DE 24 POR SERVICIOS LEGALES Y JURIDICOS CORPORATIVOS, SEGUN CONTRATO</t>
  </si>
  <si>
    <t>MVC MAGAÑA, VIEIRA Y CUEVAS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</si>
</sst>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4:L27"/>
  <sheetViews>
    <sheetView tabSelected="1" zoomScale="85" zoomScaleNormal="85" workbookViewId="0">
      <selection activeCell="A2" sqref="A2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4" spans="1:10" ht="16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2" t="s">
        <v>0</v>
      </c>
      <c r="B5" s="62"/>
      <c r="C5" s="62"/>
      <c r="D5" s="62"/>
      <c r="E5" s="62"/>
      <c r="F5" s="1"/>
      <c r="G5" s="2" t="s">
        <v>1</v>
      </c>
      <c r="H5" s="63" t="s">
        <v>2</v>
      </c>
      <c r="I5" s="63"/>
      <c r="J5" s="63"/>
    </row>
    <row r="6" spans="1:10" x14ac:dyDescent="0.2">
      <c r="A6" s="3"/>
      <c r="B6" s="3" t="s">
        <v>31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4" t="s">
        <v>3</v>
      </c>
      <c r="B7" s="64" t="s">
        <v>4</v>
      </c>
      <c r="C7" s="65"/>
      <c r="D7" s="65"/>
      <c r="E7" s="65"/>
      <c r="F7" s="65"/>
      <c r="G7" s="65"/>
      <c r="H7" s="65"/>
      <c r="I7" s="65"/>
      <c r="J7" s="66"/>
    </row>
    <row r="8" spans="1:10" x14ac:dyDescent="0.2">
      <c r="A8" s="5" t="s">
        <v>5</v>
      </c>
      <c r="B8" s="67" t="s">
        <v>6</v>
      </c>
      <c r="C8" s="68"/>
      <c r="D8" s="68"/>
      <c r="E8" s="68"/>
      <c r="F8" s="68"/>
      <c r="G8" s="69"/>
      <c r="H8" s="70" t="s">
        <v>7</v>
      </c>
      <c r="I8" s="71"/>
      <c r="J8" s="72"/>
    </row>
    <row r="9" spans="1:10" x14ac:dyDescent="0.2">
      <c r="A9" s="50" t="s">
        <v>8</v>
      </c>
      <c r="B9" s="53" t="s">
        <v>9</v>
      </c>
      <c r="C9" s="54"/>
      <c r="D9" s="54"/>
      <c r="E9" s="54"/>
      <c r="F9" s="54"/>
      <c r="G9" s="55"/>
      <c r="H9" s="73"/>
      <c r="I9" s="74"/>
      <c r="J9" s="75"/>
    </row>
    <row r="10" spans="1:10" x14ac:dyDescent="0.2">
      <c r="A10" s="51"/>
      <c r="B10" s="56"/>
      <c r="C10" s="57"/>
      <c r="D10" s="57"/>
      <c r="E10" s="57"/>
      <c r="F10" s="57"/>
      <c r="G10" s="58"/>
      <c r="H10" s="73"/>
      <c r="I10" s="74"/>
      <c r="J10" s="75"/>
    </row>
    <row r="11" spans="1:10" x14ac:dyDescent="0.2">
      <c r="A11" s="52"/>
      <c r="B11" s="59"/>
      <c r="C11" s="60"/>
      <c r="D11" s="60"/>
      <c r="E11" s="60"/>
      <c r="F11" s="60"/>
      <c r="G11" s="61"/>
      <c r="H11" s="73"/>
      <c r="I11" s="74"/>
      <c r="J11" s="75"/>
    </row>
    <row r="12" spans="1:10" x14ac:dyDescent="0.2">
      <c r="A12" s="4" t="s">
        <v>10</v>
      </c>
      <c r="B12" s="35" t="s">
        <v>11</v>
      </c>
      <c r="C12" s="36"/>
      <c r="D12" s="36"/>
      <c r="E12" s="36"/>
      <c r="F12" s="36"/>
      <c r="G12" s="37"/>
      <c r="H12" s="76"/>
      <c r="I12" s="77"/>
      <c r="J12" s="78"/>
    </row>
    <row r="13" spans="1:10" x14ac:dyDescent="0.2">
      <c r="A13" s="6" t="s">
        <v>12</v>
      </c>
      <c r="B13" s="35" t="s">
        <v>13</v>
      </c>
      <c r="C13" s="36"/>
      <c r="D13" s="36"/>
      <c r="E13" s="36"/>
      <c r="F13" s="36"/>
      <c r="G13" s="37"/>
      <c r="H13" s="38" t="s">
        <v>14</v>
      </c>
      <c r="I13" s="39"/>
      <c r="J13" s="40"/>
    </row>
    <row r="14" spans="1:10" x14ac:dyDescent="0.2">
      <c r="A14" s="6" t="s">
        <v>15</v>
      </c>
      <c r="B14" s="35" t="s">
        <v>16</v>
      </c>
      <c r="C14" s="36"/>
      <c r="D14" s="36"/>
      <c r="E14" s="36"/>
      <c r="F14" s="36"/>
      <c r="G14" s="37"/>
      <c r="H14" s="41"/>
      <c r="I14" s="42"/>
      <c r="J14" s="43"/>
    </row>
    <row r="15" spans="1:10" x14ac:dyDescent="0.2">
      <c r="A15" s="6" t="s">
        <v>17</v>
      </c>
      <c r="B15" s="35" t="s">
        <v>18</v>
      </c>
      <c r="C15" s="36"/>
      <c r="D15" s="36"/>
      <c r="E15" s="36"/>
      <c r="F15" s="36"/>
      <c r="G15" s="37"/>
      <c r="H15" s="44"/>
      <c r="I15" s="45"/>
      <c r="J15" s="46"/>
    </row>
    <row r="16" spans="1:10" x14ac:dyDescent="0.2">
      <c r="A16" s="1"/>
      <c r="B16" s="3"/>
      <c r="C16" s="1"/>
      <c r="D16" s="1"/>
      <c r="E16" s="1"/>
      <c r="F16" s="1"/>
      <c r="G16" s="1"/>
      <c r="H16" s="1"/>
      <c r="I16" s="1"/>
      <c r="J16" s="1"/>
    </row>
    <row r="17" spans="1:12" x14ac:dyDescent="0.2">
      <c r="A17" s="7" t="s">
        <v>19</v>
      </c>
      <c r="B17" s="7" t="s">
        <v>20</v>
      </c>
      <c r="C17" s="47" t="s">
        <v>21</v>
      </c>
      <c r="D17" s="48"/>
      <c r="E17" s="47" t="s">
        <v>22</v>
      </c>
      <c r="F17" s="49"/>
      <c r="G17" s="48"/>
      <c r="H17" s="47" t="s">
        <v>23</v>
      </c>
      <c r="I17" s="48"/>
      <c r="J17" s="7" t="s">
        <v>24</v>
      </c>
    </row>
    <row r="18" spans="1:12" ht="40.75" customHeight="1" x14ac:dyDescent="0.2">
      <c r="A18" s="8">
        <v>80121600</v>
      </c>
      <c r="B18" s="9">
        <v>1</v>
      </c>
      <c r="C18" s="28" t="s">
        <v>25</v>
      </c>
      <c r="D18" s="29"/>
      <c r="E18" s="30" t="s">
        <v>30</v>
      </c>
      <c r="F18" s="31"/>
      <c r="G18" s="32"/>
      <c r="H18" s="33">
        <v>19750</v>
      </c>
      <c r="I18" s="34"/>
      <c r="J18" s="10">
        <f t="shared" ref="J18:J22" si="0">B18*H18</f>
        <v>19750</v>
      </c>
    </row>
    <row r="19" spans="1:12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2" ht="14.5" customHeight="1" x14ac:dyDescent="0.2">
      <c r="A20" s="8"/>
      <c r="B20" s="9"/>
      <c r="C20" s="28"/>
      <c r="D20" s="29"/>
      <c r="E20" s="30"/>
      <c r="F20" s="31"/>
      <c r="G20" s="32"/>
      <c r="H20" s="33"/>
      <c r="I20" s="34"/>
      <c r="J20" s="10">
        <f t="shared" si="0"/>
        <v>0</v>
      </c>
    </row>
    <row r="21" spans="1:12" ht="14.5" customHeight="1" x14ac:dyDescent="0.2">
      <c r="A21" s="8"/>
      <c r="B21" s="9"/>
      <c r="C21" s="28"/>
      <c r="D21" s="29"/>
      <c r="E21" s="30"/>
      <c r="F21" s="31"/>
      <c r="G21" s="32"/>
      <c r="H21" s="33"/>
      <c r="I21" s="34"/>
      <c r="J21" s="10">
        <f t="shared" si="0"/>
        <v>0</v>
      </c>
    </row>
    <row r="22" spans="1:12" ht="14.5" customHeight="1" x14ac:dyDescent="0.2">
      <c r="A22" s="8"/>
      <c r="B22" s="9"/>
      <c r="C22" s="28"/>
      <c r="D22" s="29"/>
      <c r="E22" s="30"/>
      <c r="F22" s="31"/>
      <c r="G22" s="32"/>
      <c r="H22" s="33"/>
      <c r="I22" s="34"/>
      <c r="J22" s="10">
        <f t="shared" si="0"/>
        <v>0</v>
      </c>
    </row>
    <row r="23" spans="1:12" x14ac:dyDescent="0.2">
      <c r="A23" s="1"/>
      <c r="B23" s="1"/>
      <c r="C23" s="27"/>
      <c r="D23" s="27"/>
      <c r="E23" s="27"/>
      <c r="F23" s="27"/>
      <c r="G23" s="27"/>
      <c r="H23" s="27"/>
      <c r="I23" s="1"/>
      <c r="J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1" t="s">
        <v>26</v>
      </c>
      <c r="J24" s="12">
        <f>SUM(J18:J23)</f>
        <v>19750</v>
      </c>
      <c r="K24" s="13"/>
      <c r="L24" s="14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5" t="s">
        <v>27</v>
      </c>
      <c r="J25" s="16">
        <f>J24*0.16</f>
        <v>3160</v>
      </c>
      <c r="L25" s="17"/>
    </row>
    <row r="26" spans="1:12" x14ac:dyDescent="0.2">
      <c r="A26" s="18" t="s">
        <v>28</v>
      </c>
      <c r="B26" s="19"/>
      <c r="C26" s="19"/>
      <c r="D26" s="19"/>
      <c r="E26" s="20"/>
      <c r="F26" s="1"/>
      <c r="G26" s="1"/>
      <c r="H26" s="1"/>
      <c r="I26" s="21" t="s">
        <v>24</v>
      </c>
      <c r="J26" s="22">
        <f>J24+J25</f>
        <v>22910</v>
      </c>
    </row>
    <row r="27" spans="1:12" x14ac:dyDescent="0.2">
      <c r="A27" s="23" t="s">
        <v>29</v>
      </c>
      <c r="B27" s="24"/>
      <c r="C27" s="24"/>
      <c r="D27" s="24"/>
      <c r="E27" s="25"/>
      <c r="F27" s="26"/>
      <c r="G27" s="26"/>
      <c r="H27" s="1"/>
      <c r="I27" s="1"/>
      <c r="J27" s="1"/>
    </row>
  </sheetData>
  <mergeCells count="31">
    <mergeCell ref="A9:A11"/>
    <mergeCell ref="B9:G11"/>
    <mergeCell ref="B12:G12"/>
    <mergeCell ref="B5:E5"/>
    <mergeCell ref="H5:J5"/>
    <mergeCell ref="B7:J7"/>
    <mergeCell ref="B8:G8"/>
    <mergeCell ref="H8:J12"/>
    <mergeCell ref="B13:G13"/>
    <mergeCell ref="H13:J15"/>
    <mergeCell ref="B14:G14"/>
    <mergeCell ref="B15:G15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23:H23"/>
    <mergeCell ref="C20:D20"/>
    <mergeCell ref="E20:G20"/>
    <mergeCell ref="H20:I20"/>
    <mergeCell ref="C21:D21"/>
    <mergeCell ref="E21:G21"/>
    <mergeCell ref="H21:I21"/>
    <mergeCell ref="C22:D22"/>
    <mergeCell ref="E22:G22"/>
    <mergeCell ref="H22:I2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5:G15" xr:uid="{5E9A6199-1150-1849-99CC-66F7762B4E18}">
      <formula1>INDIRECT(++$B$14)</formula1>
    </dataValidation>
  </dataValidations>
  <hyperlinks>
    <hyperlink ref="A27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MAGAÑA CESMA JURIDICOS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2026-01-12T19:52:53Z</dcterms:created>
  <dcterms:modified xsi:type="dcterms:W3CDTF">2026-02-03T19:50:50Z</dcterms:modified>
</cp:coreProperties>
</file>