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GPO. CMX. RICH M.G\CMX\"/>
    </mc:Choice>
  </mc:AlternateContent>
  <xr:revisionPtr revIDLastSave="0" documentId="13_ncr:1_{E2B2014C-15E9-4D52-9741-5C8C91E147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4" l="1"/>
  <c r="J19" i="4"/>
  <c r="J20" i="4"/>
  <c r="J21" i="4"/>
  <c r="J16" i="4"/>
  <c r="J17" i="4" l="1"/>
  <c r="J22" i="4" l="1"/>
  <c r="J23" i="4" l="1"/>
  <c r="J15" i="4" l="1"/>
  <c r="J25" i="4" s="1"/>
  <c r="J26" i="4" s="1"/>
  <c r="J27" i="4" l="1"/>
</calcChain>
</file>

<file path=xl/sharedStrings.xml><?xml version="1.0" encoding="utf-8"?>
<sst xmlns="http://schemas.openxmlformats.org/spreadsheetml/2006/main" count="125" uniqueCount="116">
  <si>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</si>
  <si>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</si>
  <si>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</si>
  <si>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</si>
  <si>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</si>
  <si>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</si>
  <si>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</si>
  <si>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</si>
  <si>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</si>
  <si>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</si>
  <si>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</si>
  <si>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</si>
  <si>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</si>
  <si>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</si>
  <si>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</si>
  <si>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</si>
  <si>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</si>
  <si>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</si>
  <si>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</si>
  <si>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</si>
  <si>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</si>
  <si>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</si>
  <si>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</si>
  <si>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</si>
  <si>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</si>
  <si>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</si>
  <si>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</si>
  <si>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</si>
  <si>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</si>
  <si>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</si>
  <si>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</si>
  <si>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</si>
  <si>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</si>
  <si>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</si>
  <si>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</si>
  <si>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</si>
  <si>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</si>
  <si>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</si>
  <si>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</si>
  <si>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</si>
  <si>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</si>
  <si>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</si>
  <si>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</si>
  <si>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</si>
  <si>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</si>
  <si>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</si>
  <si>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</si>
  <si>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</si>
  <si>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</si>
  <si>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</si>
  <si>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</si>
  <si>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</si>
  <si>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</si>
  <si>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</si>
  <si>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</si>
  <si>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</si>
  <si>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</si>
  <si>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</si>
  <si>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</si>
  <si>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</si>
  <si>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</si>
  <si>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</si>
  <si>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</si>
  <si>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</si>
  <si>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</si>
  <si>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</si>
  <si>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</si>
  <si>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</si>
  <si>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</si>
  <si>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</si>
  <si>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</si>
  <si>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</si>
  <si>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</si>
  <si>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</si>
  <si>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</si>
  <si>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</si>
  <si>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</si>
  <si>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</si>
  <si>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</si>
  <si>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</si>
  <si>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</si>
  <si>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</si>
  <si>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</si>
  <si>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</si>
  <si>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</si>
  <si>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</si>
  <si>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</si>
  <si>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</si>
  <si>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</si>
  <si>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</si>
  <si>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</si>
  <si>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</si>
  <si>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</si>
  <si>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</si>
  <si>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</si>
  <si>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</si>
  <si>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</si>
  <si>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</si>
  <si>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</si>
  <si>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</si>
  <si>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</si>
  <si>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</si>
  <si>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</si>
  <si>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</si>
  <si>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</si>
  <si>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</si>
  <si>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</si>
  <si>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</si>
  <si>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</si>
  <si>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</si>
  <si>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</si>
  <si>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CIEMEX, S.A. DE C.V.</t>
  </si>
  <si>
    <t>CIE-600627-HIA</t>
  </si>
  <si>
    <t>AVENIDA THOMAS ALVA EDISON NO. 7, COL. PARQUE INDUSTRIAL CUAMATLA, CUAUTITLAN IZCALLI, EDO. DE MEXICO, C.P. 54730</t>
  </si>
  <si>
    <t>OXIDO DE ZINC SELLO DORADO 99.2%</t>
  </si>
  <si>
    <t>EPIC CMC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</si>
</sst>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8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3" fontId="0" fillId="2" borderId="2" xfId="0" applyNumberFormat="1" applyFill="1" applyBorder="1" applyAlignment="1">
      <alignment horizontal="center" vertical="center" wrapText="1"/>
    </xf>
    <xf numFmtId="0" fontId="1" fillId="0" borderId="0" xfId="0" applyFont="1"/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3">
    <cellStyle name="Hipervínculo" xfId="1" builtinId="8"/>
    <cellStyle name="Normal" xfId="0" builtinId="0"/>
    <cellStyle name="Normal 2" xfId="2" xr:uid="{B5153C4D-2755-4C3A-8BBB-50759A213F24}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8"/>
  <sheetViews>
    <sheetView tabSelected="1" zoomScale="85" zoomScaleNormal="85" workbookViewId="0">
      <selection activeCell="E19" sqref="E19:G19"/>
    </sheetView>
  </sheetViews>
  <sheetFormatPr baseColWidth="10" defaultRowHeight="14.4" x14ac:dyDescent="0.3"/>
  <cols>
    <col min="1" max="1" width="21.44140625" customWidth="1"/>
    <col min="4" max="4" width="6.33203125" customWidth="1"/>
    <col min="7" max="7" width="33.88671875" customWidth="1"/>
    <col min="8" max="8" width="7.6640625" customWidth="1"/>
    <col min="9" max="9" width="8.6640625" customWidth="1"/>
    <col min="10" max="10" width="15.5546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3" t="s">
        <v>9</v>
      </c>
      <c r="B2" s="53"/>
      <c r="C2" s="54"/>
      <c r="D2" s="54"/>
      <c r="E2" s="55"/>
      <c r="F2" s="1"/>
      <c r="G2" s="13" t="s">
        <v>7</v>
      </c>
      <c r="H2" s="56" t="s">
        <v>8</v>
      </c>
      <c r="I2" s="56"/>
      <c r="J2" s="56"/>
    </row>
    <row r="3" spans="1:10" x14ac:dyDescent="0.3">
      <c r="A3" s="3"/>
      <c r="B3" s="3" t="s">
        <v>115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4" t="s">
        <v>73</v>
      </c>
      <c r="B4" s="53" t="s">
        <v>111</v>
      </c>
      <c r="C4" s="54"/>
      <c r="D4" s="54"/>
      <c r="E4" s="54"/>
      <c r="F4" s="54"/>
      <c r="G4" s="54"/>
      <c r="H4" s="54"/>
      <c r="I4" s="54"/>
      <c r="J4" s="55"/>
    </row>
    <row r="5" spans="1:10" x14ac:dyDescent="0.3">
      <c r="A5" s="15" t="s">
        <v>67</v>
      </c>
      <c r="B5" s="29" t="s">
        <v>112</v>
      </c>
      <c r="C5" s="30"/>
      <c r="D5" s="30"/>
      <c r="E5" s="30"/>
      <c r="F5" s="30"/>
      <c r="G5" s="31"/>
      <c r="H5" s="60" t="s">
        <v>72</v>
      </c>
      <c r="I5" s="61"/>
      <c r="J5" s="62"/>
    </row>
    <row r="6" spans="1:10" x14ac:dyDescent="0.3">
      <c r="A6" s="26" t="s">
        <v>89</v>
      </c>
      <c r="B6" s="32" t="s">
        <v>113</v>
      </c>
      <c r="C6" s="33"/>
      <c r="D6" s="33"/>
      <c r="E6" s="33"/>
      <c r="F6" s="33"/>
      <c r="G6" s="34"/>
      <c r="H6" s="63"/>
      <c r="I6" s="64"/>
      <c r="J6" s="65"/>
    </row>
    <row r="7" spans="1:10" x14ac:dyDescent="0.3">
      <c r="A7" s="27"/>
      <c r="B7" s="35"/>
      <c r="C7" s="36"/>
      <c r="D7" s="36"/>
      <c r="E7" s="36"/>
      <c r="F7" s="36"/>
      <c r="G7" s="37"/>
      <c r="H7" s="63"/>
      <c r="I7" s="64"/>
      <c r="J7" s="65"/>
    </row>
    <row r="8" spans="1:10" x14ac:dyDescent="0.3">
      <c r="A8" s="28"/>
      <c r="B8" s="38"/>
      <c r="C8" s="39"/>
      <c r="D8" s="39"/>
      <c r="E8" s="39"/>
      <c r="F8" s="39"/>
      <c r="G8" s="40"/>
      <c r="H8" s="63"/>
      <c r="I8" s="64"/>
      <c r="J8" s="65"/>
    </row>
    <row r="9" spans="1:10" x14ac:dyDescent="0.3">
      <c r="A9" s="14" t="s">
        <v>68</v>
      </c>
      <c r="B9" s="41" t="s">
        <v>14</v>
      </c>
      <c r="C9" s="42"/>
      <c r="D9" s="42"/>
      <c r="E9" s="42"/>
      <c r="F9" s="42"/>
      <c r="G9" s="43"/>
      <c r="H9" s="66"/>
      <c r="I9" s="67"/>
      <c r="J9" s="68"/>
    </row>
    <row r="10" spans="1:10" x14ac:dyDescent="0.3">
      <c r="A10" s="16" t="s">
        <v>69</v>
      </c>
      <c r="B10" s="41" t="s">
        <v>38</v>
      </c>
      <c r="C10" s="42"/>
      <c r="D10" s="42"/>
      <c r="E10" s="42"/>
      <c r="F10" s="42"/>
      <c r="G10" s="43"/>
      <c r="H10" s="44" t="s">
        <v>66</v>
      </c>
      <c r="I10" s="45"/>
      <c r="J10" s="46"/>
    </row>
    <row r="11" spans="1:10" x14ac:dyDescent="0.3">
      <c r="A11" s="16" t="s">
        <v>70</v>
      </c>
      <c r="B11" s="41" t="s">
        <v>108</v>
      </c>
      <c r="C11" s="42"/>
      <c r="D11" s="42"/>
      <c r="E11" s="42"/>
      <c r="F11" s="42"/>
      <c r="G11" s="43"/>
      <c r="H11" s="47"/>
      <c r="I11" s="48"/>
      <c r="J11" s="49"/>
    </row>
    <row r="12" spans="1:10" x14ac:dyDescent="0.3">
      <c r="A12" s="16" t="s">
        <v>71</v>
      </c>
      <c r="B12" s="59" t="s">
        <v>105</v>
      </c>
      <c r="C12" s="42"/>
      <c r="D12" s="42"/>
      <c r="E12" s="42"/>
      <c r="F12" s="42"/>
      <c r="G12" s="43"/>
      <c r="H12" s="50"/>
      <c r="I12" s="51"/>
      <c r="J12" s="52"/>
    </row>
    <row r="13" spans="1:10" x14ac:dyDescent="0.3">
      <c r="A13" s="1"/>
      <c r="B13" s="25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7" t="s">
        <v>0</v>
      </c>
      <c r="B14" s="17" t="s">
        <v>1</v>
      </c>
      <c r="C14" s="57" t="s">
        <v>2</v>
      </c>
      <c r="D14" s="58"/>
      <c r="E14" s="57" t="s">
        <v>3</v>
      </c>
      <c r="F14" s="69"/>
      <c r="G14" s="58"/>
      <c r="H14" s="57" t="s">
        <v>4</v>
      </c>
      <c r="I14" s="58"/>
      <c r="J14" s="17" t="s">
        <v>5</v>
      </c>
    </row>
    <row r="15" spans="1:10" ht="18.600000000000001" customHeight="1" x14ac:dyDescent="0.3">
      <c r="A15" s="82">
        <v>11181500</v>
      </c>
      <c r="B15" s="24">
        <v>20000</v>
      </c>
      <c r="C15" s="70" t="s">
        <v>58</v>
      </c>
      <c r="D15" s="71"/>
      <c r="E15" s="74" t="s">
        <v>114</v>
      </c>
      <c r="F15" s="75"/>
      <c r="G15" s="76"/>
      <c r="H15" s="72">
        <v>65.917152150000007</v>
      </c>
      <c r="I15" s="73"/>
      <c r="J15" s="10">
        <f t="shared" ref="J15:J23" si="0">B15*H15</f>
        <v>1318343.0430000001</v>
      </c>
    </row>
    <row r="16" spans="1:10" ht="17.399999999999999" customHeight="1" x14ac:dyDescent="0.3">
      <c r="A16" s="4"/>
      <c r="B16" s="11"/>
      <c r="C16" s="70"/>
      <c r="D16" s="71"/>
      <c r="E16" s="74"/>
      <c r="F16" s="75"/>
      <c r="G16" s="76"/>
      <c r="H16" s="72"/>
      <c r="I16" s="73"/>
      <c r="J16" s="10">
        <f t="shared" si="0"/>
        <v>0</v>
      </c>
    </row>
    <row r="17" spans="1:10" x14ac:dyDescent="0.3">
      <c r="A17" s="4"/>
      <c r="B17" s="11"/>
      <c r="C17" s="70"/>
      <c r="D17" s="71"/>
      <c r="E17" s="74"/>
      <c r="F17" s="75"/>
      <c r="G17" s="76"/>
      <c r="H17" s="72"/>
      <c r="I17" s="73"/>
      <c r="J17" s="10">
        <f t="shared" si="0"/>
        <v>0</v>
      </c>
    </row>
    <row r="18" spans="1:10" x14ac:dyDescent="0.3">
      <c r="A18" s="4"/>
      <c r="B18" s="11"/>
      <c r="C18" s="70"/>
      <c r="D18" s="71"/>
      <c r="E18" s="77"/>
      <c r="F18" s="78"/>
      <c r="G18" s="79"/>
      <c r="H18" s="72"/>
      <c r="I18" s="73"/>
      <c r="J18" s="10">
        <f t="shared" si="0"/>
        <v>0</v>
      </c>
    </row>
    <row r="19" spans="1:10" x14ac:dyDescent="0.3">
      <c r="A19" s="4"/>
      <c r="B19" s="11"/>
      <c r="C19" s="70"/>
      <c r="D19" s="71"/>
      <c r="E19" s="77"/>
      <c r="F19" s="78"/>
      <c r="G19" s="79"/>
      <c r="H19" s="72"/>
      <c r="I19" s="73"/>
      <c r="J19" s="10">
        <f t="shared" si="0"/>
        <v>0</v>
      </c>
    </row>
    <row r="20" spans="1:10" x14ac:dyDescent="0.3">
      <c r="A20" s="4"/>
      <c r="B20" s="11"/>
      <c r="C20" s="70"/>
      <c r="D20" s="71"/>
      <c r="E20" s="77"/>
      <c r="F20" s="78"/>
      <c r="G20" s="79"/>
      <c r="H20" s="72"/>
      <c r="I20" s="73"/>
      <c r="J20" s="10">
        <f t="shared" si="0"/>
        <v>0</v>
      </c>
    </row>
    <row r="21" spans="1:10" x14ac:dyDescent="0.3">
      <c r="A21" s="4"/>
      <c r="B21" s="11"/>
      <c r="C21" s="70"/>
      <c r="D21" s="71"/>
      <c r="E21" s="77"/>
      <c r="F21" s="78"/>
      <c r="G21" s="79"/>
      <c r="H21" s="72"/>
      <c r="I21" s="73"/>
      <c r="J21" s="10">
        <f t="shared" si="0"/>
        <v>0</v>
      </c>
    </row>
    <row r="22" spans="1:10" x14ac:dyDescent="0.3">
      <c r="A22" s="4"/>
      <c r="B22" s="11"/>
      <c r="C22" s="70"/>
      <c r="D22" s="71"/>
      <c r="E22" s="77"/>
      <c r="F22" s="78"/>
      <c r="G22" s="79"/>
      <c r="H22" s="72"/>
      <c r="I22" s="73"/>
      <c r="J22" s="10">
        <f t="shared" si="0"/>
        <v>0</v>
      </c>
    </row>
    <row r="23" spans="1:10" x14ac:dyDescent="0.3">
      <c r="A23" s="4"/>
      <c r="B23" s="11"/>
      <c r="C23" s="70"/>
      <c r="D23" s="71"/>
      <c r="E23" s="77"/>
      <c r="F23" s="78"/>
      <c r="G23" s="79"/>
      <c r="H23" s="72"/>
      <c r="I23" s="73"/>
      <c r="J23" s="10">
        <f t="shared" si="0"/>
        <v>0</v>
      </c>
    </row>
    <row r="24" spans="1:10" x14ac:dyDescent="0.3">
      <c r="A24" s="1"/>
      <c r="B24" s="1"/>
      <c r="C24" s="80"/>
      <c r="D24" s="80"/>
      <c r="E24" s="80"/>
      <c r="F24" s="80"/>
      <c r="G24" s="80"/>
      <c r="H24" s="8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5" t="s">
        <v>6</v>
      </c>
      <c r="J25" s="6">
        <f>SUM(J15:J24)</f>
        <v>1318343.0430000001</v>
      </c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7" t="s">
        <v>74</v>
      </c>
      <c r="J26" s="8">
        <f>J25*0.16</f>
        <v>210934.88688000001</v>
      </c>
    </row>
    <row r="27" spans="1:10" x14ac:dyDescent="0.3">
      <c r="A27" s="18" t="s">
        <v>85</v>
      </c>
      <c r="B27" s="19"/>
      <c r="C27" s="19"/>
      <c r="D27" s="19"/>
      <c r="E27" s="20"/>
      <c r="F27" s="1"/>
      <c r="G27" s="1"/>
      <c r="H27" s="1"/>
      <c r="I27" s="2" t="s">
        <v>5</v>
      </c>
      <c r="J27" s="9">
        <f>J25+J26</f>
        <v>1529277.9298800002</v>
      </c>
    </row>
    <row r="28" spans="1:10" x14ac:dyDescent="0.3">
      <c r="A28" s="23" t="s">
        <v>86</v>
      </c>
      <c r="B28" s="21"/>
      <c r="C28" s="21"/>
      <c r="D28" s="21"/>
      <c r="E28" s="22"/>
      <c r="F28" s="12"/>
      <c r="G28" s="12"/>
      <c r="H28" s="1"/>
      <c r="I28" s="1"/>
      <c r="J28" s="1"/>
    </row>
  </sheetData>
  <mergeCells count="43">
    <mergeCell ref="H17:I17"/>
    <mergeCell ref="H18:I18"/>
    <mergeCell ref="H19:I19"/>
    <mergeCell ref="H20:I20"/>
    <mergeCell ref="C24:H24"/>
    <mergeCell ref="C18:D18"/>
    <mergeCell ref="C19:D19"/>
    <mergeCell ref="C20:D20"/>
    <mergeCell ref="E17:G17"/>
    <mergeCell ref="E18:G18"/>
    <mergeCell ref="E19:G19"/>
    <mergeCell ref="E20:G20"/>
    <mergeCell ref="C15:D15"/>
    <mergeCell ref="H15:I15"/>
    <mergeCell ref="C23:D23"/>
    <mergeCell ref="H23:I23"/>
    <mergeCell ref="E15:G15"/>
    <mergeCell ref="E23:G23"/>
    <mergeCell ref="C22:D22"/>
    <mergeCell ref="E22:G22"/>
    <mergeCell ref="H22:I22"/>
    <mergeCell ref="C17:D17"/>
    <mergeCell ref="C21:D21"/>
    <mergeCell ref="E21:G21"/>
    <mergeCell ref="H21:I21"/>
    <mergeCell ref="C16:D16"/>
    <mergeCell ref="E16:G16"/>
    <mergeCell ref="H16:I16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A6:A8"/>
    <mergeCell ref="B5:G5"/>
    <mergeCell ref="B6:G8"/>
    <mergeCell ref="B9:G9"/>
    <mergeCell ref="H10:J12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8" r:id="rId1" xr:uid="{BF6D1640-420E-46BE-A64F-0F3BC89B38D1}"/>
  </hyperlinks>
  <pageMargins left="0.70866141732283472" right="0.70866141732283472" top="0.74803149606299213" bottom="0.74803149606299213" header="0.31496062992125984" footer="0.31496062992125984"/>
  <pageSetup scale="88" orientation="landscape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C15:D23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4.4" x14ac:dyDescent="0.3"/>
  <cols>
    <col min="1" max="1" width="39.44140625" customWidth="1"/>
    <col min="3" max="3" width="56.109375" bestFit="1" customWidth="1"/>
    <col min="5" max="5" width="33.6640625" bestFit="1" customWidth="1"/>
    <col min="7" max="7" width="87.88671875" bestFit="1" customWidth="1"/>
  </cols>
  <sheetData>
    <row r="1" spans="1:7" x14ac:dyDescent="0.3">
      <c r="A1" t="s">
        <v>13</v>
      </c>
      <c r="C1" t="s">
        <v>48</v>
      </c>
      <c r="E1" t="s">
        <v>2</v>
      </c>
      <c r="G1" t="s">
        <v>37</v>
      </c>
    </row>
    <row r="2" spans="1:7" x14ac:dyDescent="0.3">
      <c r="A2" t="s">
        <v>12</v>
      </c>
      <c r="C2" t="s">
        <v>38</v>
      </c>
      <c r="E2" t="s">
        <v>49</v>
      </c>
      <c r="G2" t="s">
        <v>14</v>
      </c>
    </row>
    <row r="3" spans="1:7" x14ac:dyDescent="0.3">
      <c r="A3" t="s">
        <v>75</v>
      </c>
      <c r="C3" t="s">
        <v>39</v>
      </c>
      <c r="E3" t="s">
        <v>50</v>
      </c>
      <c r="G3" t="s">
        <v>15</v>
      </c>
    </row>
    <row r="4" spans="1:7" x14ac:dyDescent="0.3">
      <c r="C4" t="s">
        <v>40</v>
      </c>
      <c r="E4" t="s">
        <v>58</v>
      </c>
      <c r="G4" t="s">
        <v>16</v>
      </c>
    </row>
    <row r="5" spans="1:7" x14ac:dyDescent="0.3">
      <c r="A5" t="s">
        <v>10</v>
      </c>
      <c r="C5" t="s">
        <v>41</v>
      </c>
      <c r="E5" t="s">
        <v>51</v>
      </c>
      <c r="G5" t="s">
        <v>18</v>
      </c>
    </row>
    <row r="6" spans="1:7" x14ac:dyDescent="0.3">
      <c r="A6" t="s">
        <v>78</v>
      </c>
      <c r="C6" t="s">
        <v>42</v>
      </c>
      <c r="E6" t="s">
        <v>52</v>
      </c>
      <c r="G6" t="s">
        <v>17</v>
      </c>
    </row>
    <row r="7" spans="1:7" x14ac:dyDescent="0.3">
      <c r="A7" t="s">
        <v>11</v>
      </c>
      <c r="C7" t="s">
        <v>43</v>
      </c>
      <c r="E7" t="s">
        <v>53</v>
      </c>
      <c r="G7" t="s">
        <v>19</v>
      </c>
    </row>
    <row r="8" spans="1:7" x14ac:dyDescent="0.3">
      <c r="A8" t="s">
        <v>93</v>
      </c>
      <c r="C8" t="s">
        <v>44</v>
      </c>
      <c r="E8" t="s">
        <v>54</v>
      </c>
      <c r="G8" t="s">
        <v>20</v>
      </c>
    </row>
    <row r="9" spans="1:7" x14ac:dyDescent="0.3">
      <c r="A9" t="s">
        <v>77</v>
      </c>
      <c r="C9" t="s">
        <v>45</v>
      </c>
      <c r="E9" t="s">
        <v>55</v>
      </c>
      <c r="G9" t="s">
        <v>21</v>
      </c>
    </row>
    <row r="10" spans="1:7" x14ac:dyDescent="0.3">
      <c r="A10" t="s">
        <v>87</v>
      </c>
      <c r="C10" t="s">
        <v>46</v>
      </c>
      <c r="E10" t="s">
        <v>56</v>
      </c>
      <c r="G10" t="s">
        <v>22</v>
      </c>
    </row>
    <row r="11" spans="1:7" x14ac:dyDescent="0.3">
      <c r="A11" t="s">
        <v>88</v>
      </c>
      <c r="C11" t="s">
        <v>47</v>
      </c>
      <c r="E11" t="s">
        <v>57</v>
      </c>
      <c r="G11" t="s">
        <v>23</v>
      </c>
    </row>
    <row r="12" spans="1:7" x14ac:dyDescent="0.3">
      <c r="A12" t="s">
        <v>90</v>
      </c>
      <c r="E12" t="s">
        <v>59</v>
      </c>
      <c r="G12" t="s">
        <v>24</v>
      </c>
    </row>
    <row r="13" spans="1:7" x14ac:dyDescent="0.3">
      <c r="A13" t="s">
        <v>91</v>
      </c>
      <c r="E13" t="s">
        <v>60</v>
      </c>
      <c r="G13" t="s">
        <v>25</v>
      </c>
    </row>
    <row r="14" spans="1:7" x14ac:dyDescent="0.3">
      <c r="A14" t="s">
        <v>92</v>
      </c>
      <c r="E14" t="s">
        <v>61</v>
      </c>
      <c r="G14" t="s">
        <v>26</v>
      </c>
    </row>
    <row r="15" spans="1:7" x14ac:dyDescent="0.3">
      <c r="A15" t="s">
        <v>97</v>
      </c>
      <c r="E15" t="s">
        <v>62</v>
      </c>
      <c r="G15" t="s">
        <v>27</v>
      </c>
    </row>
    <row r="16" spans="1:7" x14ac:dyDescent="0.3">
      <c r="A16" t="s">
        <v>98</v>
      </c>
      <c r="E16" t="s">
        <v>63</v>
      </c>
      <c r="G16" t="s">
        <v>28</v>
      </c>
    </row>
    <row r="17" spans="1:7" x14ac:dyDescent="0.3">
      <c r="A17" t="s">
        <v>99</v>
      </c>
      <c r="E17" t="s">
        <v>64</v>
      </c>
      <c r="G17" t="s">
        <v>29</v>
      </c>
    </row>
    <row r="18" spans="1:7" x14ac:dyDescent="0.3">
      <c r="A18" t="s">
        <v>100</v>
      </c>
      <c r="E18" t="s">
        <v>65</v>
      </c>
      <c r="G18" t="s">
        <v>30</v>
      </c>
    </row>
    <row r="19" spans="1:7" x14ac:dyDescent="0.3">
      <c r="A19" t="s">
        <v>101</v>
      </c>
      <c r="E19" t="s">
        <v>81</v>
      </c>
      <c r="G19" t="s">
        <v>31</v>
      </c>
    </row>
    <row r="20" spans="1:7" x14ac:dyDescent="0.3">
      <c r="A20" t="s">
        <v>102</v>
      </c>
      <c r="E20" t="s">
        <v>76</v>
      </c>
      <c r="G20" t="s">
        <v>32</v>
      </c>
    </row>
    <row r="21" spans="1:7" x14ac:dyDescent="0.3">
      <c r="A21" t="s">
        <v>103</v>
      </c>
      <c r="E21" t="s">
        <v>79</v>
      </c>
      <c r="G21" t="s">
        <v>33</v>
      </c>
    </row>
    <row r="22" spans="1:7" x14ac:dyDescent="0.3">
      <c r="A22" t="s">
        <v>110</v>
      </c>
      <c r="E22" t="s">
        <v>80</v>
      </c>
      <c r="G22" t="s">
        <v>34</v>
      </c>
    </row>
    <row r="23" spans="1:7" x14ac:dyDescent="0.3">
      <c r="E23" t="s">
        <v>82</v>
      </c>
      <c r="G23" t="s">
        <v>35</v>
      </c>
    </row>
    <row r="24" spans="1:7" x14ac:dyDescent="0.3">
      <c r="E24" t="s">
        <v>83</v>
      </c>
      <c r="G24" t="s">
        <v>36</v>
      </c>
    </row>
    <row r="25" spans="1:7" x14ac:dyDescent="0.3">
      <c r="E25" t="s">
        <v>84</v>
      </c>
    </row>
    <row r="26" spans="1:7" x14ac:dyDescent="0.3">
      <c r="E26" t="s">
        <v>94</v>
      </c>
    </row>
    <row r="27" spans="1:7" x14ac:dyDescent="0.3">
      <c r="E27" t="s">
        <v>95</v>
      </c>
    </row>
    <row r="28" spans="1:7" x14ac:dyDescent="0.3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4.4" x14ac:dyDescent="0.3"/>
  <cols>
    <col min="1" max="1" width="15.5546875" customWidth="1"/>
    <col min="2" max="2" width="14.44140625" customWidth="1"/>
    <col min="3" max="3" width="21.5546875" customWidth="1"/>
    <col min="4" max="4" width="18.88671875" customWidth="1"/>
  </cols>
  <sheetData>
    <row r="1" spans="1:4" x14ac:dyDescent="0.3">
      <c r="A1" t="s">
        <v>106</v>
      </c>
      <c r="B1" t="s">
        <v>107</v>
      </c>
      <c r="C1" t="s">
        <v>109</v>
      </c>
      <c r="D1" t="s">
        <v>108</v>
      </c>
    </row>
    <row r="2" spans="1:4" x14ac:dyDescent="0.3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cp:lastPrinted>2024-06-06T23:59:04Z</cp:lastPrinted>
  <dcterms:created xsi:type="dcterms:W3CDTF">2017-12-04T17:48:14Z</dcterms:created>
  <dcterms:modified xsi:type="dcterms:W3CDTF">2025-02-28T22:40:21Z</dcterms:modified>
</cp:coreProperties>
</file>