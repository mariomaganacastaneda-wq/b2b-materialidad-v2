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silvia/"/>
    </mc:Choice>
  </mc:AlternateContent>
  <xr:revisionPtr revIDLastSave="0" documentId="13_ncr:1_{B62B560E-8831-D444-9539-6B5D56F5B290}" xr6:coauthVersionLast="47" xr6:coauthVersionMax="47" xr10:uidLastSave="{00000000-0000-0000-0000-000000000000}"/>
  <bookViews>
    <workbookView xWindow="0" yWindow="500" windowWidth="28800" windowHeight="1644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D24" i="1"/>
  <c r="E15" i="1"/>
  <c r="F15" i="1" s="1"/>
  <c r="F16" i="1" l="1"/>
  <c r="F17" i="1" s="1"/>
  <c r="F18" i="1" s="1"/>
</calcChain>
</file>

<file path=xl/sharedStrings.xml><?xml version="1.0" encoding="utf-8"?>
<sst xmlns="http://schemas.openxmlformats.org/spreadsheetml/2006/main" count="31" uniqueCount="30">
  <si>
    <t>Facturar X:</t>
  </si>
  <si>
    <t>RFC:</t>
  </si>
  <si>
    <t>Cliente:</t>
  </si>
  <si>
    <t>Fecha:</t>
  </si>
  <si>
    <t>UsoCFDI</t>
  </si>
  <si>
    <t>G03</t>
  </si>
  <si>
    <t>GASTOS EN GENERAL</t>
  </si>
  <si>
    <t>Forma de Pago</t>
  </si>
  <si>
    <t>Metodo de Pago</t>
  </si>
  <si>
    <t>Pago en parcialidades o diferido</t>
  </si>
  <si>
    <t>Domicilio: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</si>
  <si>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</si>
  <si>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</si>
  <si>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</si>
  <si>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</si>
  <si>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</si>
  <si>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</si>
  <si>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</si>
  <si>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</si>
  <si>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SUB-TOTAL:</t>
  </si>
  <si>
    <t>16% I.V.A. :</t>
  </si>
  <si>
    <t>SEIDCO</t>
  </si>
  <si>
    <t>Total Factura</t>
  </si>
  <si>
    <t>CLAVE de PRODUCTO</t>
  </si>
  <si>
    <t>Servicos de prevencion y control de Enferedades</t>
  </si>
  <si>
    <t>MEDICA ASIS LAB S.A. DE C.V.</t>
  </si>
  <si>
    <t>Desierto de los Leones 4694,  interior 5-3, Col lomas de los Angeles de Tetelpan,  Alcaldia Alvaro Obregon, CDMX</t>
  </si>
  <si>
    <t>E48- Servicio</t>
  </si>
  <si>
    <t>MALO 030513 8V8</t>
  </si>
  <si>
    <t>Pago 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</si>
</sst>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3" fontId="0" fillId="0" borderId="0" xfId="0" applyNumberFormat="1"/>
    <xf numFmtId="0" fontId="3" fillId="0" borderId="0" xfId="0" applyFont="1" applyFill="1" applyBorder="1"/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25"/>
  <sheetViews>
    <sheetView tabSelected="1" topLeftCell="A2" zoomScale="128" zoomScaleNormal="128" workbookViewId="0">
      <selection activeCell="F26" sqref="F26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x14ac:dyDescent="0.2">
      <c r="A1" t="s">
        <v>22</v>
      </c>
      <c r="B1" s="40">
        <v>2990000</v>
      </c>
    </row>
    <row r="2" spans="1:6" ht="16" thickBot="1" x14ac:dyDescent="0.25"/>
    <row r="3" spans="1:6" ht="17" thickBot="1" x14ac:dyDescent="0.25">
      <c r="A3" s="1" t="s">
        <v>0</v>
      </c>
      <c r="B3" s="2" t="s">
        <v>21</v>
      </c>
      <c r="C3" s="3"/>
      <c r="D3" s="3"/>
      <c r="E3" s="1" t="s">
        <v>1</v>
      </c>
      <c r="F3" s="3" t="s">
        <v>28</v>
      </c>
    </row>
    <row r="4" spans="1:6" ht="18" thickBot="1" x14ac:dyDescent="0.25">
      <c r="A4" s="4" t="s">
        <v>2</v>
      </c>
      <c r="B4" s="3" t="s">
        <v>25</v>
      </c>
      <c r="C4" s="3"/>
      <c r="D4" s="3"/>
      <c r="E4" s="5" t="s">
        <v>3</v>
      </c>
      <c r="F4" s="6">
        <v>44712</v>
      </c>
    </row>
    <row r="5" spans="1:6" ht="18" thickBot="1" x14ac:dyDescent="0.25">
      <c r="A5" s="4" t="s">
        <v>4</v>
      </c>
      <c r="B5" s="7" t="s">
        <v>5</v>
      </c>
      <c r="C5" s="7" t="s">
        <v>6</v>
      </c>
      <c r="D5" s="7"/>
      <c r="E5" s="8"/>
      <c r="F5" s="9"/>
    </row>
    <row r="6" spans="1:6" ht="18" thickBot="1" x14ac:dyDescent="0.25">
      <c r="A6" s="10" t="s">
        <v>7</v>
      </c>
      <c r="B6" s="16" t="s">
        <v>29</v>
      </c>
      <c r="C6" s="11"/>
      <c r="D6" s="11"/>
      <c r="E6" s="12"/>
      <c r="F6" s="13"/>
    </row>
    <row r="7" spans="1:6" ht="18" thickBot="1" x14ac:dyDescent="0.25">
      <c r="A7" s="10"/>
      <c r="B7" s="14"/>
      <c r="C7" s="11"/>
      <c r="D7" s="11"/>
      <c r="E7" s="12"/>
      <c r="F7" s="13"/>
    </row>
    <row r="8" spans="1:6" ht="18" thickBot="1" x14ac:dyDescent="0.25">
      <c r="A8" s="10" t="s">
        <v>8</v>
      </c>
      <c r="B8" s="15"/>
      <c r="C8" s="16" t="s">
        <v>9</v>
      </c>
      <c r="D8" s="17"/>
      <c r="E8" s="12"/>
      <c r="F8" s="13"/>
    </row>
    <row r="9" spans="1:6" ht="17" thickBot="1" x14ac:dyDescent="0.25">
      <c r="A9" s="18" t="s">
        <v>10</v>
      </c>
      <c r="B9" s="43" t="s">
        <v>26</v>
      </c>
      <c r="C9" s="44"/>
      <c r="D9" s="44"/>
      <c r="E9" s="44"/>
      <c r="F9" s="45"/>
    </row>
    <row r="10" spans="1:6" ht="17" thickBot="1" x14ac:dyDescent="0.25">
      <c r="A10" s="19" t="s">
        <v>11</v>
      </c>
      <c r="B10" s="46"/>
      <c r="C10" s="44"/>
      <c r="D10" s="44"/>
      <c r="E10" s="44"/>
      <c r="F10" s="45"/>
    </row>
    <row r="11" spans="1:6" ht="17" thickBot="1" x14ac:dyDescent="0.25">
      <c r="A11" s="1" t="s">
        <v>12</v>
      </c>
      <c r="B11" s="43">
        <v>93131704</v>
      </c>
      <c r="C11" s="47"/>
      <c r="D11" s="47"/>
      <c r="E11" s="47"/>
      <c r="F11" s="48"/>
    </row>
    <row r="12" spans="1:6" ht="17" thickBot="1" x14ac:dyDescent="0.25">
      <c r="A12" s="1" t="s">
        <v>13</v>
      </c>
      <c r="B12" s="43" t="s">
        <v>27</v>
      </c>
      <c r="C12" s="47"/>
      <c r="D12" s="47"/>
      <c r="E12" s="47"/>
      <c r="F12" s="48"/>
    </row>
    <row r="13" spans="1:6" ht="17" thickBot="1" x14ac:dyDescent="0.25">
      <c r="A13" s="20"/>
      <c r="B13" s="21"/>
      <c r="C13" s="22"/>
      <c r="D13" s="22"/>
      <c r="E13" s="23"/>
      <c r="F13" s="24"/>
    </row>
    <row r="14" spans="1:6" ht="18" thickBot="1" x14ac:dyDescent="0.25">
      <c r="A14" s="41" t="s">
        <v>23</v>
      </c>
      <c r="B14" s="25" t="s">
        <v>14</v>
      </c>
      <c r="C14" s="26" t="s">
        <v>15</v>
      </c>
      <c r="D14" s="27" t="s">
        <v>16</v>
      </c>
      <c r="E14" s="28" t="s">
        <v>17</v>
      </c>
      <c r="F14" s="28" t="s">
        <v>18</v>
      </c>
    </row>
    <row r="15" spans="1:6" ht="30.75" customHeight="1" x14ac:dyDescent="0.2">
      <c r="A15" s="42">
        <v>93131704</v>
      </c>
      <c r="B15" s="29">
        <v>1</v>
      </c>
      <c r="C15" s="30">
        <v>1</v>
      </c>
      <c r="D15" s="31" t="s">
        <v>24</v>
      </c>
      <c r="E15" s="32">
        <f>B1/1.16</f>
        <v>2577586.2068965519</v>
      </c>
      <c r="F15" s="33">
        <f>E15*B15</f>
        <v>2577586.2068965519</v>
      </c>
    </row>
    <row r="16" spans="1:6" ht="18" thickBot="1" x14ac:dyDescent="0.25">
      <c r="B16" s="34"/>
      <c r="C16" s="35"/>
      <c r="D16" s="36"/>
      <c r="E16" s="37" t="s">
        <v>19</v>
      </c>
      <c r="F16" s="33">
        <f>SUM(F15:F15)</f>
        <v>2577586.2068965519</v>
      </c>
    </row>
    <row r="17" spans="2:6" ht="18" thickBot="1" x14ac:dyDescent="0.25">
      <c r="B17" s="34"/>
      <c r="C17" s="35"/>
      <c r="D17" s="38"/>
      <c r="E17" s="39" t="s">
        <v>20</v>
      </c>
      <c r="F17" s="33">
        <f>F16*0.16</f>
        <v>412413.79310344829</v>
      </c>
    </row>
    <row r="18" spans="2:6" ht="18" thickBot="1" x14ac:dyDescent="0.25">
      <c r="B18" s="34"/>
      <c r="C18" s="35"/>
      <c r="D18" s="38"/>
      <c r="E18" s="39" t="s">
        <v>18</v>
      </c>
      <c r="F18" s="33">
        <f>SUM(F16:F17)</f>
        <v>2990000</v>
      </c>
    </row>
    <row r="24" spans="2:6" x14ac:dyDescent="0.2">
      <c r="D24">
        <f>16000*20</f>
        <v>320000</v>
      </c>
      <c r="E24">
        <v>4</v>
      </c>
      <c r="F24">
        <f>D24*E24</f>
        <v>1280000</v>
      </c>
    </row>
    <row r="25" spans="2:6" x14ac:dyDescent="0.2">
      <c r="F25">
        <f>F24*0.01</f>
        <v>12800</v>
      </c>
    </row>
  </sheetData>
  <mergeCells count="4">
    <mergeCell ref="B9:F9"/>
    <mergeCell ref="B10:F10"/>
    <mergeCell ref="B11:F11"/>
    <mergeCell ref="B12:F12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2022-06-01T18:59:15Z</dcterms:modified>
</cp:coreProperties>
</file>