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ERSONAL\CESAR CRUZ-CESMA-CLEANVIA-RICH MEDINA\CESMA\"/>
    </mc:Choice>
  </mc:AlternateContent>
  <xr:revisionPtr revIDLastSave="0" documentId="8_{D34C5946-F7BD-4142-BDC9-BED11C0EB2D6}" xr6:coauthVersionLast="47" xr6:coauthVersionMax="47" xr10:uidLastSave="{00000000-0000-0000-0000-000000000000}"/>
  <bookViews>
    <workbookView xWindow="-108" yWindow="-108" windowWidth="23256" windowHeight="12456" xr2:uid="{762CF081-649B-4AFE-8560-FE8DA557DF30}"/>
  </bookViews>
  <sheets>
    <sheet name="FACTURA" sheetId="1" r:id="rId1"/>
  </sheets>
  <externalReferences>
    <externalReference r:id="rId2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J18" i="1"/>
  <c r="J17" i="1"/>
  <c r="J16" i="1"/>
  <c r="J15" i="1"/>
  <c r="J21" i="1" s="1"/>
  <c r="J23" i="1" l="1"/>
  <c r="J22" i="1"/>
</calcChain>
</file>

<file path=xl/sharedStrings.xml><?xml version="1.0" encoding="utf-8"?>
<sst xmlns="http://schemas.openxmlformats.org/spreadsheetml/2006/main" count="33" uniqueCount="32">
  <si>
    <t>Empresa que emite:</t>
  </si>
  <si>
    <t>TIPO DE COMPROBANTE</t>
  </si>
  <si>
    <t>INGRESO</t>
  </si>
  <si>
    <t>SOLUTIONS MIMI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</si>
  <si>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</si>
  <si>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</si>
  <si>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</si>
  <si>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</si>
  <si>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</si>
  <si>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</si>
  <si>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</si>
  <si>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</si>
  <si>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</si>
  <si>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</si>
  <si>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</si>
  <si>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</si>
  <si>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</si>
  <si>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</si>
  <si>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</si>
  <si>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</si>
  <si>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</si>
  <si>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</si>
  <si>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</si>
  <si>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</si>
  <si>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</si>
  <si>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</si>
  <si>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</si>
  <si>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</si>
  <si>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</si>
  <si>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</si>
  <si>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</si>
  <si>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CARGO QUINCENAL 1 DE 24 POR SERVICIOS DE MARKETING DIGITAL Y CONTENIDOS PARA DEDES SOCIALES , SEGUN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</si>
</sst>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[$-80A]d&quot; de &quot;mmmm&quot; de &quot;yyyy;@"/>
    <numFmt numFmtId="165" formatCode="_-&quot;$&quot;* #,##0.0000_-;\-&quot;$&quot;* #,##0.00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9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2" borderId="0" xfId="0" applyFont="1" applyFill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44" fontId="0" fillId="0" borderId="0" xfId="1" applyFont="1"/>
    <xf numFmtId="4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5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44" fontId="0" fillId="2" borderId="2" xfId="1" applyFont="1" applyFill="1" applyBorder="1" applyAlignment="1">
      <alignment horizontal="center" vertical="center" wrapText="1"/>
    </xf>
    <xf numFmtId="44" fontId="0" fillId="2" borderId="4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164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ERSONAL\CESAR%20CRUZ-CESMA-CLEANVIA-RICH%20MEDINA\CESMA\PROFORMA%20MAGA&#209;A%20Y%20VIEIRA-CESMA_SERV.%20ASESORIA%20FIN.%201%20de%2024,%20Q1%20ENE.%202026.xlsx" TargetMode="External"/><Relationship Id="rId1" Type="http://schemas.openxmlformats.org/officeDocument/2006/relationships/externalLinkPath" Target="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6E58-09D2-4F38-85E3-3F16FF6D2A27}">
  <sheetPr>
    <pageSetUpPr fitToPage="1"/>
  </sheetPr>
  <dimension ref="A1:L24"/>
  <sheetViews>
    <sheetView tabSelected="1" zoomScale="85" zoomScaleNormal="85" workbookViewId="0">
      <selection activeCell="E15" sqref="E15:G15"/>
    </sheetView>
  </sheetViews>
  <sheetFormatPr baseColWidth="10" defaultRowHeight="14.4" x14ac:dyDescent="0.3"/>
  <cols>
    <col min="1" max="1" width="21.44140625" customWidth="1"/>
    <col min="4" max="4" width="6.21875" customWidth="1"/>
    <col min="7" max="7" width="26.109375" customWidth="1"/>
    <col min="8" max="8" width="7.77734375" customWidth="1"/>
    <col min="9" max="9" width="8.77734375" customWidth="1"/>
    <col min="10" max="10" width="13.77734375" customWidth="1"/>
    <col min="12" max="12" width="12.88671875" bestFit="1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2" t="s">
        <v>0</v>
      </c>
      <c r="B2" s="50"/>
      <c r="C2" s="50"/>
      <c r="D2" s="50"/>
      <c r="E2" s="50"/>
      <c r="F2" s="1"/>
      <c r="G2" s="2" t="s">
        <v>1</v>
      </c>
      <c r="H2" s="51" t="s">
        <v>2</v>
      </c>
      <c r="I2" s="51"/>
      <c r="J2" s="51"/>
    </row>
    <row r="3" spans="1:10" x14ac:dyDescent="0.3">
      <c r="A3" s="3"/>
      <c r="B3" s="3" t="s">
        <v>3</v>
      </c>
      <c r="C3" s="1"/>
      <c r="D3" s="1"/>
      <c r="E3" s="1"/>
      <c r="F3" s="1"/>
      <c r="G3" s="1"/>
      <c r="H3" s="1"/>
      <c r="I3" s="1"/>
      <c r="J3" s="1"/>
    </row>
    <row r="4" spans="1:10" x14ac:dyDescent="0.3">
      <c r="A4" s="4" t="s">
        <v>4</v>
      </c>
      <c r="B4" s="52" t="s">
        <v>5</v>
      </c>
      <c r="C4" s="53"/>
      <c r="D4" s="53"/>
      <c r="E4" s="53"/>
      <c r="F4" s="53"/>
      <c r="G4" s="53"/>
      <c r="H4" s="53"/>
      <c r="I4" s="53"/>
      <c r="J4" s="54"/>
    </row>
    <row r="5" spans="1:10" x14ac:dyDescent="0.3">
      <c r="A5" s="5" t="s">
        <v>6</v>
      </c>
      <c r="B5" s="55" t="s">
        <v>7</v>
      </c>
      <c r="C5" s="56"/>
      <c r="D5" s="56"/>
      <c r="E5" s="56"/>
      <c r="F5" s="56"/>
      <c r="G5" s="57"/>
      <c r="H5" s="58" t="s">
        <v>8</v>
      </c>
      <c r="I5" s="59"/>
      <c r="J5" s="60"/>
    </row>
    <row r="6" spans="1:10" x14ac:dyDescent="0.3">
      <c r="A6" s="67" t="s">
        <v>9</v>
      </c>
      <c r="B6" s="70" t="s">
        <v>10</v>
      </c>
      <c r="C6" s="71"/>
      <c r="D6" s="71"/>
      <c r="E6" s="71"/>
      <c r="F6" s="71"/>
      <c r="G6" s="72"/>
      <c r="H6" s="61"/>
      <c r="I6" s="62"/>
      <c r="J6" s="63"/>
    </row>
    <row r="7" spans="1:10" x14ac:dyDescent="0.3">
      <c r="A7" s="68"/>
      <c r="B7" s="73"/>
      <c r="C7" s="74"/>
      <c r="D7" s="74"/>
      <c r="E7" s="74"/>
      <c r="F7" s="74"/>
      <c r="G7" s="75"/>
      <c r="H7" s="61"/>
      <c r="I7" s="62"/>
      <c r="J7" s="63"/>
    </row>
    <row r="8" spans="1:10" x14ac:dyDescent="0.3">
      <c r="A8" s="69"/>
      <c r="B8" s="76"/>
      <c r="C8" s="77"/>
      <c r="D8" s="77"/>
      <c r="E8" s="77"/>
      <c r="F8" s="77"/>
      <c r="G8" s="78"/>
      <c r="H8" s="61"/>
      <c r="I8" s="62"/>
      <c r="J8" s="63"/>
    </row>
    <row r="9" spans="1:10" x14ac:dyDescent="0.3">
      <c r="A9" s="4" t="s">
        <v>11</v>
      </c>
      <c r="B9" s="35" t="s">
        <v>12</v>
      </c>
      <c r="C9" s="36"/>
      <c r="D9" s="36"/>
      <c r="E9" s="36"/>
      <c r="F9" s="36"/>
      <c r="G9" s="37"/>
      <c r="H9" s="64"/>
      <c r="I9" s="65"/>
      <c r="J9" s="66"/>
    </row>
    <row r="10" spans="1:10" x14ac:dyDescent="0.3">
      <c r="A10" s="6" t="s">
        <v>13</v>
      </c>
      <c r="B10" s="35" t="s">
        <v>14</v>
      </c>
      <c r="C10" s="36"/>
      <c r="D10" s="36"/>
      <c r="E10" s="36"/>
      <c r="F10" s="36"/>
      <c r="G10" s="37"/>
      <c r="H10" s="38" t="s">
        <v>15</v>
      </c>
      <c r="I10" s="39"/>
      <c r="J10" s="40"/>
    </row>
    <row r="11" spans="1:10" x14ac:dyDescent="0.3">
      <c r="A11" s="6" t="s">
        <v>16</v>
      </c>
      <c r="B11" s="35" t="s">
        <v>17</v>
      </c>
      <c r="C11" s="36"/>
      <c r="D11" s="36"/>
      <c r="E11" s="36"/>
      <c r="F11" s="36"/>
      <c r="G11" s="37"/>
      <c r="H11" s="41"/>
      <c r="I11" s="42"/>
      <c r="J11" s="43"/>
    </row>
    <row r="12" spans="1:10" x14ac:dyDescent="0.3">
      <c r="A12" s="6" t="s">
        <v>18</v>
      </c>
      <c r="B12" s="35" t="s">
        <v>19</v>
      </c>
      <c r="C12" s="36"/>
      <c r="D12" s="36"/>
      <c r="E12" s="36"/>
      <c r="F12" s="36"/>
      <c r="G12" s="37"/>
      <c r="H12" s="44"/>
      <c r="I12" s="45"/>
      <c r="J12" s="46"/>
    </row>
    <row r="13" spans="1:10" x14ac:dyDescent="0.3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7" t="s">
        <v>20</v>
      </c>
      <c r="B14" s="7" t="s">
        <v>21</v>
      </c>
      <c r="C14" s="47" t="s">
        <v>22</v>
      </c>
      <c r="D14" s="48"/>
      <c r="E14" s="47" t="s">
        <v>23</v>
      </c>
      <c r="F14" s="49"/>
      <c r="G14" s="48"/>
      <c r="H14" s="47" t="s">
        <v>24</v>
      </c>
      <c r="I14" s="48"/>
      <c r="J14" s="7" t="s">
        <v>25</v>
      </c>
    </row>
    <row r="15" spans="1:10" ht="40.799999999999997" customHeight="1" x14ac:dyDescent="0.3">
      <c r="A15" s="8"/>
      <c r="B15" s="9">
        <v>1</v>
      </c>
      <c r="C15" s="27" t="s">
        <v>26</v>
      </c>
      <c r="D15" s="28"/>
      <c r="E15" s="29" t="s">
        <v>31</v>
      </c>
      <c r="F15" s="30"/>
      <c r="G15" s="31"/>
      <c r="H15" s="32">
        <v>120000</v>
      </c>
      <c r="I15" s="33"/>
      <c r="J15" s="10">
        <f t="shared" ref="J15:J19" si="0">B15*H15</f>
        <v>120000</v>
      </c>
    </row>
    <row r="16" spans="1:10" ht="14.55" customHeight="1" x14ac:dyDescent="0.3">
      <c r="A16" s="8"/>
      <c r="B16" s="9"/>
      <c r="C16" s="27"/>
      <c r="D16" s="28"/>
      <c r="E16" s="29"/>
      <c r="F16" s="30"/>
      <c r="G16" s="31"/>
      <c r="H16" s="32"/>
      <c r="I16" s="33"/>
      <c r="J16" s="10">
        <f t="shared" si="0"/>
        <v>0</v>
      </c>
    </row>
    <row r="17" spans="1:12" ht="14.55" customHeight="1" x14ac:dyDescent="0.3">
      <c r="A17" s="8"/>
      <c r="B17" s="9"/>
      <c r="C17" s="27"/>
      <c r="D17" s="28"/>
      <c r="E17" s="29"/>
      <c r="F17" s="30"/>
      <c r="G17" s="31"/>
      <c r="H17" s="32"/>
      <c r="I17" s="33"/>
      <c r="J17" s="10">
        <f t="shared" si="0"/>
        <v>0</v>
      </c>
    </row>
    <row r="18" spans="1:12" ht="14.55" customHeight="1" x14ac:dyDescent="0.3">
      <c r="A18" s="8"/>
      <c r="B18" s="9"/>
      <c r="C18" s="27"/>
      <c r="D18" s="28"/>
      <c r="E18" s="29"/>
      <c r="F18" s="30"/>
      <c r="G18" s="31"/>
      <c r="H18" s="32"/>
      <c r="I18" s="33"/>
      <c r="J18" s="10">
        <f t="shared" si="0"/>
        <v>0</v>
      </c>
    </row>
    <row r="19" spans="1:12" ht="14.55" customHeight="1" x14ac:dyDescent="0.3">
      <c r="A19" s="8"/>
      <c r="B19" s="9"/>
      <c r="C19" s="27"/>
      <c r="D19" s="28"/>
      <c r="E19" s="29"/>
      <c r="F19" s="30"/>
      <c r="G19" s="31"/>
      <c r="H19" s="32"/>
      <c r="I19" s="33"/>
      <c r="J19" s="10">
        <f t="shared" si="0"/>
        <v>0</v>
      </c>
    </row>
    <row r="20" spans="1:12" x14ac:dyDescent="0.3">
      <c r="A20" s="1"/>
      <c r="B20" s="1"/>
      <c r="C20" s="34"/>
      <c r="D20" s="34"/>
      <c r="E20" s="34"/>
      <c r="F20" s="34"/>
      <c r="G20" s="34"/>
      <c r="H20" s="34"/>
      <c r="I20" s="1"/>
      <c r="J20" s="1"/>
    </row>
    <row r="21" spans="1:12" x14ac:dyDescent="0.3">
      <c r="A21" s="1"/>
      <c r="B21" s="1"/>
      <c r="C21" s="1"/>
      <c r="D21" s="1"/>
      <c r="E21" s="1"/>
      <c r="F21" s="1"/>
      <c r="G21" s="1"/>
      <c r="H21" s="1"/>
      <c r="I21" s="11" t="s">
        <v>27</v>
      </c>
      <c r="J21" s="12">
        <f>SUM(J15:J20)</f>
        <v>120000</v>
      </c>
      <c r="K21" s="13"/>
      <c r="L21" s="14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15" t="s">
        <v>28</v>
      </c>
      <c r="J22" s="16">
        <f>J21*0.16</f>
        <v>19200</v>
      </c>
      <c r="L22" s="17"/>
    </row>
    <row r="23" spans="1:12" x14ac:dyDescent="0.3">
      <c r="A23" s="18" t="s">
        <v>29</v>
      </c>
      <c r="B23" s="19"/>
      <c r="C23" s="19"/>
      <c r="D23" s="19"/>
      <c r="E23" s="20"/>
      <c r="F23" s="1"/>
      <c r="G23" s="1"/>
      <c r="H23" s="1"/>
      <c r="I23" s="21" t="s">
        <v>25</v>
      </c>
      <c r="J23" s="22">
        <f>J21+J22</f>
        <v>139200</v>
      </c>
    </row>
    <row r="24" spans="1:12" x14ac:dyDescent="0.3">
      <c r="A24" s="23" t="s">
        <v>30</v>
      </c>
      <c r="B24" s="24"/>
      <c r="C24" s="24"/>
      <c r="D24" s="24"/>
      <c r="E24" s="25"/>
      <c r="F24" s="26"/>
      <c r="G24" s="26"/>
      <c r="H24" s="1"/>
      <c r="I24" s="1"/>
      <c r="J24" s="1"/>
    </row>
  </sheetData>
  <mergeCells count="31">
    <mergeCell ref="A6:A8"/>
    <mergeCell ref="B6:G8"/>
    <mergeCell ref="B9:G9"/>
    <mergeCell ref="B2:E2"/>
    <mergeCell ref="H2:J2"/>
    <mergeCell ref="B4:J4"/>
    <mergeCell ref="B5:G5"/>
    <mergeCell ref="H5:J9"/>
    <mergeCell ref="B10:G10"/>
    <mergeCell ref="H10:J12"/>
    <mergeCell ref="B11:G11"/>
    <mergeCell ref="B12:G12"/>
    <mergeCell ref="C14:D14"/>
    <mergeCell ref="E14:G14"/>
    <mergeCell ref="H14:I14"/>
    <mergeCell ref="C15:D15"/>
    <mergeCell ref="E15:G15"/>
    <mergeCell ref="H15:I15"/>
    <mergeCell ref="C16:D16"/>
    <mergeCell ref="E16:G16"/>
    <mergeCell ref="H16:I16"/>
    <mergeCell ref="C19:D19"/>
    <mergeCell ref="E19:G19"/>
    <mergeCell ref="H19:I19"/>
    <mergeCell ref="C20:H20"/>
    <mergeCell ref="C17:D17"/>
    <mergeCell ref="E17:G17"/>
    <mergeCell ref="H17:I17"/>
    <mergeCell ref="C18:D18"/>
    <mergeCell ref="E18:G18"/>
    <mergeCell ref="H18:I18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C9D4FB35-016B-4A74-8B00-6969A30D0421}">
      <formula1>INDIRECT(++$B$11)</formula1>
    </dataValidation>
  </dataValidations>
  <hyperlinks>
    <hyperlink ref="A24" r:id="rId1" xr:uid="{9DAAB16A-1ABF-446D-B49B-C0C81AC9BA4D}"/>
  </hyperlinks>
  <pageMargins left="0.70866141732283472" right="0.70866141732283472" top="0.74803149606299213" bottom="0.74803149606299213" header="0.31496062992125984" footer="0.31496062992125984"/>
  <pageSetup scale="88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victor tovar</cp:lastModifiedBy>
  <dcterms:created xsi:type="dcterms:W3CDTF">2026-01-12T19:57:34Z</dcterms:created>
  <dcterms:modified xsi:type="dcterms:W3CDTF">2026-01-12T20:08:15Z</dcterms:modified>
</cp:coreProperties>
</file>