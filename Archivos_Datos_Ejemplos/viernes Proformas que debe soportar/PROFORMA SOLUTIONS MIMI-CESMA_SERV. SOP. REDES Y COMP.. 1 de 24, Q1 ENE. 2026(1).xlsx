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4729E462-9470-8D45-96C7-BB03A14BCA85}" xr6:coauthVersionLast="47" xr6:coauthVersionMax="47" xr10:uidLastSave="{00000000-0000-0000-0000-000000000000}"/>
  <bookViews>
    <workbookView xWindow="0" yWindow="500" windowWidth="23260" windowHeight="12460" xr2:uid="{A139F08B-915B-4139-8C59-72DEF5FE3A08}"/>
  </bookViews>
  <sheets>
    <sheet name="MIMI CESMA  soporte a redes" sheetId="2" r:id="rId1"/>
    <sheet name="MIMI CESMA Anterior" sheetId="1" r:id="rId2"/>
  </sheets>
  <externalReferences>
    <externalReference r:id="rId3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s="1"/>
  <c r="J19" i="1"/>
  <c r="J18" i="1"/>
  <c r="J17" i="1"/>
  <c r="J16" i="1"/>
  <c r="J15" i="1"/>
  <c r="J21" i="1" s="1"/>
  <c r="J22" i="2" l="1"/>
  <c r="J23" i="2" s="1"/>
  <c r="J22" i="1"/>
  <c r="J23" i="1" s="1"/>
</calcChain>
</file>

<file path=xl/sharedStrings.xml><?xml version="1.0" encoding="utf-8"?>
<sst xmlns="http://schemas.openxmlformats.org/spreadsheetml/2006/main" count="68" uniqueCount="35">
  <si>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</si>
  <si>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</si>
  <si>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</si>
  <si>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</si>
  <si>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</si>
  <si>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</si>
  <si>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</si>
  <si>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</si>
  <si>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</si>
  <si>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</si>
  <si>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</si>
  <si>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</si>
  <si>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</si>
  <si>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</si>
  <si>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</si>
  <si>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</si>
  <si>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</si>
  <si>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</si>
  <si>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</si>
  <si>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</si>
  <si>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</si>
  <si>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</si>
  <si>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</si>
  <si>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</si>
  <si>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</si>
  <si>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</si>
  <si>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</si>
  <si>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</si>
  <si>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</si>
  <si>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</si>
  <si>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SOLUTIONS MIMI</t>
  </si>
  <si>
    <t>CARGO QUINCENAL 1 DE 24 POR SERVICIOS DE SOPORTE A REDES Y COMPUTADORAS, SEGUN CONTRATO</t>
  </si>
  <si>
    <r>
      <t>81111803 (Mantenimiento o soporte de redes de área local)</t>
    </r>
    <r>
      <rPr>
        <sz val="16"/>
        <color rgb="FF001D35"/>
        <rFont val="Arial"/>
        <family val="2"/>
      </rPr>
      <t>,</t>
    </r>
  </si>
  <si>
    <t>1ro de 24 Pagos quincenales del año 2026, POR SERVICIOS DE SOPORTE A REDES de area local  Y COMPUTADORAS,de acuerdo  al CONTRATO</t>
  </si>
  <si>
    <t>1ro de 24 PAGOS, QUINCENALES DEL AÑO 2026, POR SERVICIOS DE SOPORTE A REDES DE AREA LOCAL Y COMPUTADORAS, DE ACUERDO AL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</si>
</sst>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01D35"/>
      <name val="Arial"/>
      <family val="2"/>
    </font>
    <font>
      <sz val="16"/>
      <color rgb="FF001D3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0" xfId="0" applyFont="1"/>
    <xf numFmtId="0" fontId="0" fillId="0" borderId="0" xfId="0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6A9B-8657-144E-830D-D13D353C4BD7}">
  <sheetPr>
    <pageSetUpPr fitToPage="1"/>
  </sheetPr>
  <dimension ref="A1:T24"/>
  <sheetViews>
    <sheetView tabSelected="1" zoomScale="85" zoomScaleNormal="85" workbookViewId="0">
      <selection activeCell="L15" sqref="L15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20" x14ac:dyDescent="0.2">
      <c r="A2" s="2" t="s">
        <v>0</v>
      </c>
      <c r="B2" s="44"/>
      <c r="C2" s="44"/>
      <c r="D2" s="44"/>
      <c r="E2" s="44"/>
      <c r="F2" s="1"/>
      <c r="G2" s="2" t="s">
        <v>1</v>
      </c>
      <c r="H2" s="45" t="s">
        <v>2</v>
      </c>
      <c r="I2" s="45"/>
      <c r="J2" s="45"/>
    </row>
    <row r="3" spans="1:20" x14ac:dyDescent="0.2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20" x14ac:dyDescent="0.2">
      <c r="A4" s="4" t="s">
        <v>3</v>
      </c>
      <c r="B4" s="46" t="s">
        <v>4</v>
      </c>
      <c r="C4" s="47"/>
      <c r="D4" s="47"/>
      <c r="E4" s="47"/>
      <c r="F4" s="47"/>
      <c r="G4" s="47"/>
      <c r="H4" s="47"/>
      <c r="I4" s="47"/>
      <c r="J4" s="48"/>
    </row>
    <row r="5" spans="1:20" x14ac:dyDescent="0.2">
      <c r="A5" s="5" t="s">
        <v>5</v>
      </c>
      <c r="B5" s="49" t="s">
        <v>6</v>
      </c>
      <c r="C5" s="50"/>
      <c r="D5" s="50"/>
      <c r="E5" s="50"/>
      <c r="F5" s="50"/>
      <c r="G5" s="51"/>
      <c r="H5" s="52" t="s">
        <v>7</v>
      </c>
      <c r="I5" s="53"/>
      <c r="J5" s="54"/>
    </row>
    <row r="6" spans="1:20" x14ac:dyDescent="0.2">
      <c r="A6" s="29" t="s">
        <v>8</v>
      </c>
      <c r="B6" s="32" t="s">
        <v>9</v>
      </c>
      <c r="C6" s="33"/>
      <c r="D6" s="33"/>
      <c r="E6" s="33"/>
      <c r="F6" s="33"/>
      <c r="G6" s="34"/>
      <c r="H6" s="55"/>
      <c r="I6" s="56"/>
      <c r="J6" s="57"/>
    </row>
    <row r="7" spans="1:20" x14ac:dyDescent="0.2">
      <c r="A7" s="30"/>
      <c r="B7" s="35"/>
      <c r="C7" s="36"/>
      <c r="D7" s="36"/>
      <c r="E7" s="36"/>
      <c r="F7" s="36"/>
      <c r="G7" s="37"/>
      <c r="H7" s="55"/>
      <c r="I7" s="56"/>
      <c r="J7" s="57"/>
    </row>
    <row r="8" spans="1:20" x14ac:dyDescent="0.2">
      <c r="A8" s="31"/>
      <c r="B8" s="38"/>
      <c r="C8" s="39"/>
      <c r="D8" s="39"/>
      <c r="E8" s="39"/>
      <c r="F8" s="39"/>
      <c r="G8" s="40"/>
      <c r="H8" s="55"/>
      <c r="I8" s="56"/>
      <c r="J8" s="57"/>
    </row>
    <row r="9" spans="1:20" x14ac:dyDescent="0.2">
      <c r="A9" s="4" t="s">
        <v>10</v>
      </c>
      <c r="B9" s="41" t="s">
        <v>11</v>
      </c>
      <c r="C9" s="42"/>
      <c r="D9" s="42"/>
      <c r="E9" s="42"/>
      <c r="F9" s="42"/>
      <c r="G9" s="43"/>
      <c r="H9" s="58"/>
      <c r="I9" s="59"/>
      <c r="J9" s="60"/>
    </row>
    <row r="10" spans="1:20" x14ac:dyDescent="0.2">
      <c r="A10" s="6" t="s">
        <v>12</v>
      </c>
      <c r="B10" s="41" t="s">
        <v>13</v>
      </c>
      <c r="C10" s="42"/>
      <c r="D10" s="42"/>
      <c r="E10" s="42"/>
      <c r="F10" s="42"/>
      <c r="G10" s="43"/>
      <c r="H10" s="61" t="s">
        <v>14</v>
      </c>
      <c r="I10" s="62"/>
      <c r="J10" s="63"/>
    </row>
    <row r="11" spans="1:20" x14ac:dyDescent="0.2">
      <c r="A11" s="6" t="s">
        <v>15</v>
      </c>
      <c r="B11" s="41" t="s">
        <v>16</v>
      </c>
      <c r="C11" s="42"/>
      <c r="D11" s="42"/>
      <c r="E11" s="42"/>
      <c r="F11" s="42"/>
      <c r="G11" s="43"/>
      <c r="H11" s="64"/>
      <c r="I11" s="65"/>
      <c r="J11" s="66"/>
    </row>
    <row r="12" spans="1:20" x14ac:dyDescent="0.2">
      <c r="A12" s="6" t="s">
        <v>17</v>
      </c>
      <c r="B12" s="41" t="s">
        <v>18</v>
      </c>
      <c r="C12" s="42"/>
      <c r="D12" s="42"/>
      <c r="E12" s="42"/>
      <c r="F12" s="42"/>
      <c r="G12" s="43"/>
      <c r="H12" s="67"/>
      <c r="I12" s="68"/>
      <c r="J12" s="69"/>
    </row>
    <row r="13" spans="1:20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20" x14ac:dyDescent="0.2">
      <c r="A14" s="7" t="s">
        <v>19</v>
      </c>
      <c r="B14" s="7" t="s">
        <v>20</v>
      </c>
      <c r="C14" s="70" t="s">
        <v>21</v>
      </c>
      <c r="D14" s="71"/>
      <c r="E14" s="70" t="s">
        <v>22</v>
      </c>
      <c r="F14" s="72"/>
      <c r="G14" s="71"/>
      <c r="H14" s="70" t="s">
        <v>23</v>
      </c>
      <c r="I14" s="71"/>
      <c r="J14" s="7" t="s">
        <v>24</v>
      </c>
    </row>
    <row r="15" spans="1:20" ht="53" customHeight="1" x14ac:dyDescent="0.2">
      <c r="A15" s="8">
        <v>81111803</v>
      </c>
      <c r="B15" s="9">
        <v>1</v>
      </c>
      <c r="C15" s="73" t="s">
        <v>25</v>
      </c>
      <c r="D15" s="74"/>
      <c r="E15" s="84" t="s">
        <v>34</v>
      </c>
      <c r="F15" s="85"/>
      <c r="G15" s="86"/>
      <c r="H15" s="78">
        <v>25875</v>
      </c>
      <c r="I15" s="79"/>
      <c r="J15" s="10">
        <f t="shared" ref="J15:J19" si="0">B15*H15</f>
        <v>25875</v>
      </c>
      <c r="L15" s="27"/>
    </row>
    <row r="16" spans="1:20" ht="14.5" customHeight="1" x14ac:dyDescent="0.2">
      <c r="A16" s="8"/>
      <c r="B16" s="9"/>
      <c r="C16" s="73"/>
      <c r="D16" s="74"/>
      <c r="E16" s="81"/>
      <c r="F16" s="82"/>
      <c r="G16" s="83"/>
      <c r="H16" s="78"/>
      <c r="I16" s="79"/>
      <c r="J16" s="10">
        <f t="shared" si="0"/>
        <v>0</v>
      </c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4.5" customHeight="1" x14ac:dyDescent="0.2">
      <c r="A17" s="8"/>
      <c r="B17" s="9"/>
      <c r="C17" s="73"/>
      <c r="D17" s="74"/>
      <c r="E17" s="75"/>
      <c r="F17" s="76"/>
      <c r="G17" s="77"/>
      <c r="H17" s="78"/>
      <c r="I17" s="79"/>
      <c r="J17" s="10">
        <f t="shared" si="0"/>
        <v>0</v>
      </c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14.5" customHeight="1" x14ac:dyDescent="0.2">
      <c r="A18" s="8"/>
      <c r="B18" s="9"/>
      <c r="C18" s="73"/>
      <c r="D18" s="74"/>
      <c r="E18" s="75"/>
      <c r="F18" s="76"/>
      <c r="G18" s="77"/>
      <c r="H18" s="78"/>
      <c r="I18" s="79"/>
      <c r="J18" s="10">
        <f t="shared" si="0"/>
        <v>0</v>
      </c>
    </row>
    <row r="19" spans="1:20" ht="14.5" customHeight="1" x14ac:dyDescent="0.2">
      <c r="A19" s="8"/>
      <c r="B19" s="9"/>
      <c r="C19" s="73"/>
      <c r="D19" s="74"/>
      <c r="E19" s="75"/>
      <c r="F19" s="76"/>
      <c r="G19" s="77"/>
      <c r="H19" s="78"/>
      <c r="I19" s="79"/>
      <c r="J19" s="10">
        <f t="shared" si="0"/>
        <v>0</v>
      </c>
    </row>
    <row r="20" spans="1:20" x14ac:dyDescent="0.2">
      <c r="A20" s="1"/>
      <c r="B20" s="1"/>
      <c r="C20" s="80"/>
      <c r="D20" s="80"/>
      <c r="E20" s="80"/>
      <c r="F20" s="80"/>
      <c r="G20" s="80"/>
      <c r="H20" s="80"/>
      <c r="I20" s="1"/>
      <c r="J20" s="1"/>
    </row>
    <row r="21" spans="1:20" x14ac:dyDescent="0.2">
      <c r="A21" s="1"/>
      <c r="B21" s="1"/>
      <c r="C21" s="1"/>
      <c r="D21" s="1"/>
      <c r="E21" s="1"/>
      <c r="F21" s="1"/>
      <c r="G21" s="1"/>
      <c r="H21" s="1"/>
      <c r="I21" s="11" t="s">
        <v>26</v>
      </c>
      <c r="J21" s="12">
        <f>SUM(J15:J20)</f>
        <v>25875</v>
      </c>
      <c r="K21" s="13"/>
      <c r="L21" s="14"/>
    </row>
    <row r="22" spans="1:20" x14ac:dyDescent="0.2">
      <c r="A22" s="1"/>
      <c r="B22" s="1"/>
      <c r="C22" s="1"/>
      <c r="D22" s="1"/>
      <c r="E22" s="1"/>
      <c r="F22" s="1"/>
      <c r="G22" s="1"/>
      <c r="H22" s="1"/>
      <c r="I22" s="15" t="s">
        <v>27</v>
      </c>
      <c r="J22" s="16">
        <f>J21*0.16</f>
        <v>4140</v>
      </c>
      <c r="L22" s="17"/>
    </row>
    <row r="23" spans="1:20" x14ac:dyDescent="0.2">
      <c r="A23" s="18" t="s">
        <v>28</v>
      </c>
      <c r="B23" s="19"/>
      <c r="C23" s="19"/>
      <c r="D23" s="19"/>
      <c r="E23" s="20"/>
      <c r="F23" s="1"/>
      <c r="G23" s="1"/>
      <c r="H23" s="1"/>
      <c r="I23" s="21" t="s">
        <v>24</v>
      </c>
      <c r="J23" s="22">
        <f>J21+J22</f>
        <v>30015</v>
      </c>
    </row>
    <row r="24" spans="1:20" x14ac:dyDescent="0.2">
      <c r="A24" s="23" t="s">
        <v>29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19:D19"/>
    <mergeCell ref="E19:G19"/>
    <mergeCell ref="H19:I19"/>
    <mergeCell ref="C20:H20"/>
    <mergeCell ref="L16:T17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H16:I16"/>
    <mergeCell ref="B10:G10"/>
    <mergeCell ref="H10:J12"/>
    <mergeCell ref="B11:G11"/>
    <mergeCell ref="B12:G12"/>
    <mergeCell ref="C14:D14"/>
    <mergeCell ref="E14:G14"/>
    <mergeCell ref="H14:I14"/>
    <mergeCell ref="B2:E2"/>
    <mergeCell ref="H2:J2"/>
    <mergeCell ref="B4:J4"/>
    <mergeCell ref="B5:G5"/>
    <mergeCell ref="H5:J9"/>
    <mergeCell ref="A6:A8"/>
    <mergeCell ref="B6:G8"/>
    <mergeCell ref="B9:G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9F1402C2-868A-3645-8F9E-14176A6CB093}">
      <formula1>INDIRECT(++$B$11)</formula1>
    </dataValidation>
  </dataValidations>
  <hyperlinks>
    <hyperlink ref="A24" r:id="rId1" xr:uid="{51134FD8-8C20-8E49-8708-933CD040EEDA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E7C6-2B64-4938-AF2D-86E125E80633}">
  <sheetPr>
    <pageSetUpPr fitToPage="1"/>
  </sheetPr>
  <dimension ref="A1:T24"/>
  <sheetViews>
    <sheetView topLeftCell="A3" zoomScale="85" zoomScaleNormal="85" workbookViewId="0">
      <selection activeCell="L16" sqref="L16:T17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20" x14ac:dyDescent="0.2">
      <c r="A2" s="2" t="s">
        <v>0</v>
      </c>
      <c r="B2" s="44"/>
      <c r="C2" s="44"/>
      <c r="D2" s="44"/>
      <c r="E2" s="44"/>
      <c r="F2" s="1"/>
      <c r="G2" s="2" t="s">
        <v>1</v>
      </c>
      <c r="H2" s="45" t="s">
        <v>2</v>
      </c>
      <c r="I2" s="45"/>
      <c r="J2" s="45"/>
    </row>
    <row r="3" spans="1:20" x14ac:dyDescent="0.2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20" x14ac:dyDescent="0.2">
      <c r="A4" s="4" t="s">
        <v>3</v>
      </c>
      <c r="B4" s="46" t="s">
        <v>4</v>
      </c>
      <c r="C4" s="47"/>
      <c r="D4" s="47"/>
      <c r="E4" s="47"/>
      <c r="F4" s="47"/>
      <c r="G4" s="47"/>
      <c r="H4" s="47"/>
      <c r="I4" s="47"/>
      <c r="J4" s="48"/>
    </row>
    <row r="5" spans="1:20" x14ac:dyDescent="0.2">
      <c r="A5" s="5" t="s">
        <v>5</v>
      </c>
      <c r="B5" s="49" t="s">
        <v>6</v>
      </c>
      <c r="C5" s="50"/>
      <c r="D5" s="50"/>
      <c r="E5" s="50"/>
      <c r="F5" s="50"/>
      <c r="G5" s="51"/>
      <c r="H5" s="52" t="s">
        <v>7</v>
      </c>
      <c r="I5" s="53"/>
      <c r="J5" s="54"/>
    </row>
    <row r="6" spans="1:20" x14ac:dyDescent="0.2">
      <c r="A6" s="29" t="s">
        <v>8</v>
      </c>
      <c r="B6" s="32" t="s">
        <v>9</v>
      </c>
      <c r="C6" s="33"/>
      <c r="D6" s="33"/>
      <c r="E6" s="33"/>
      <c r="F6" s="33"/>
      <c r="G6" s="34"/>
      <c r="H6" s="55"/>
      <c r="I6" s="56"/>
      <c r="J6" s="57"/>
    </row>
    <row r="7" spans="1:20" x14ac:dyDescent="0.2">
      <c r="A7" s="30"/>
      <c r="B7" s="35"/>
      <c r="C7" s="36"/>
      <c r="D7" s="36"/>
      <c r="E7" s="36"/>
      <c r="F7" s="36"/>
      <c r="G7" s="37"/>
      <c r="H7" s="55"/>
      <c r="I7" s="56"/>
      <c r="J7" s="57"/>
    </row>
    <row r="8" spans="1:20" x14ac:dyDescent="0.2">
      <c r="A8" s="31"/>
      <c r="B8" s="38"/>
      <c r="C8" s="39"/>
      <c r="D8" s="39"/>
      <c r="E8" s="39"/>
      <c r="F8" s="39"/>
      <c r="G8" s="40"/>
      <c r="H8" s="55"/>
      <c r="I8" s="56"/>
      <c r="J8" s="57"/>
    </row>
    <row r="9" spans="1:20" x14ac:dyDescent="0.2">
      <c r="A9" s="4" t="s">
        <v>10</v>
      </c>
      <c r="B9" s="41" t="s">
        <v>11</v>
      </c>
      <c r="C9" s="42"/>
      <c r="D9" s="42"/>
      <c r="E9" s="42"/>
      <c r="F9" s="42"/>
      <c r="G9" s="43"/>
      <c r="H9" s="58"/>
      <c r="I9" s="59"/>
      <c r="J9" s="60"/>
    </row>
    <row r="10" spans="1:20" x14ac:dyDescent="0.2">
      <c r="A10" s="6" t="s">
        <v>12</v>
      </c>
      <c r="B10" s="41" t="s">
        <v>13</v>
      </c>
      <c r="C10" s="42"/>
      <c r="D10" s="42"/>
      <c r="E10" s="42"/>
      <c r="F10" s="42"/>
      <c r="G10" s="43"/>
      <c r="H10" s="61" t="s">
        <v>14</v>
      </c>
      <c r="I10" s="62"/>
      <c r="J10" s="63"/>
    </row>
    <row r="11" spans="1:20" x14ac:dyDescent="0.2">
      <c r="A11" s="6" t="s">
        <v>15</v>
      </c>
      <c r="B11" s="41" t="s">
        <v>16</v>
      </c>
      <c r="C11" s="42"/>
      <c r="D11" s="42"/>
      <c r="E11" s="42"/>
      <c r="F11" s="42"/>
      <c r="G11" s="43"/>
      <c r="H11" s="64"/>
      <c r="I11" s="65"/>
      <c r="J11" s="66"/>
    </row>
    <row r="12" spans="1:20" x14ac:dyDescent="0.2">
      <c r="A12" s="6" t="s">
        <v>17</v>
      </c>
      <c r="B12" s="41" t="s">
        <v>18</v>
      </c>
      <c r="C12" s="42"/>
      <c r="D12" s="42"/>
      <c r="E12" s="42"/>
      <c r="F12" s="42"/>
      <c r="G12" s="43"/>
      <c r="H12" s="67"/>
      <c r="I12" s="68"/>
      <c r="J12" s="69"/>
    </row>
    <row r="13" spans="1:20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20" x14ac:dyDescent="0.2">
      <c r="A14" s="7" t="s">
        <v>19</v>
      </c>
      <c r="B14" s="7" t="s">
        <v>20</v>
      </c>
      <c r="C14" s="70" t="s">
        <v>21</v>
      </c>
      <c r="D14" s="71"/>
      <c r="E14" s="70" t="s">
        <v>22</v>
      </c>
      <c r="F14" s="72"/>
      <c r="G14" s="71"/>
      <c r="H14" s="70" t="s">
        <v>23</v>
      </c>
      <c r="I14" s="71"/>
      <c r="J14" s="7" t="s">
        <v>24</v>
      </c>
    </row>
    <row r="15" spans="1:20" ht="40.75" customHeight="1" x14ac:dyDescent="0.2">
      <c r="A15" s="8">
        <v>81111803</v>
      </c>
      <c r="B15" s="9">
        <v>1</v>
      </c>
      <c r="C15" s="73" t="s">
        <v>25</v>
      </c>
      <c r="D15" s="74"/>
      <c r="E15" s="75" t="s">
        <v>31</v>
      </c>
      <c r="F15" s="76"/>
      <c r="G15" s="77"/>
      <c r="H15" s="78">
        <v>25875</v>
      </c>
      <c r="I15" s="79"/>
      <c r="J15" s="10">
        <f t="shared" ref="J15:J19" si="0">B15*H15</f>
        <v>25875</v>
      </c>
      <c r="L15" s="27" t="s">
        <v>32</v>
      </c>
    </row>
    <row r="16" spans="1:20" ht="14.5" customHeight="1" x14ac:dyDescent="0.2">
      <c r="A16" s="8"/>
      <c r="B16" s="9"/>
      <c r="C16" s="73"/>
      <c r="D16" s="74"/>
      <c r="E16" s="75"/>
      <c r="F16" s="76"/>
      <c r="G16" s="77"/>
      <c r="H16" s="78"/>
      <c r="I16" s="79"/>
      <c r="J16" s="10">
        <f t="shared" si="0"/>
        <v>0</v>
      </c>
      <c r="L16" s="28" t="s">
        <v>33</v>
      </c>
      <c r="M16" s="28"/>
      <c r="N16" s="28"/>
      <c r="O16" s="28"/>
      <c r="P16" s="28"/>
      <c r="Q16" s="28"/>
      <c r="R16" s="28"/>
      <c r="S16" s="28"/>
      <c r="T16" s="28"/>
    </row>
    <row r="17" spans="1:20" ht="14.5" customHeight="1" x14ac:dyDescent="0.2">
      <c r="A17" s="8"/>
      <c r="B17" s="9"/>
      <c r="C17" s="73"/>
      <c r="D17" s="74"/>
      <c r="E17" s="75"/>
      <c r="F17" s="76"/>
      <c r="G17" s="77"/>
      <c r="H17" s="78"/>
      <c r="I17" s="79"/>
      <c r="J17" s="10">
        <f t="shared" si="0"/>
        <v>0</v>
      </c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14.5" customHeight="1" x14ac:dyDescent="0.2">
      <c r="A18" s="8"/>
      <c r="B18" s="9"/>
      <c r="C18" s="73"/>
      <c r="D18" s="74"/>
      <c r="E18" s="75"/>
      <c r="F18" s="76"/>
      <c r="G18" s="77"/>
      <c r="H18" s="78"/>
      <c r="I18" s="79"/>
      <c r="J18" s="10">
        <f t="shared" si="0"/>
        <v>0</v>
      </c>
    </row>
    <row r="19" spans="1:20" ht="14.5" customHeight="1" x14ac:dyDescent="0.2">
      <c r="A19" s="8"/>
      <c r="B19" s="9"/>
      <c r="C19" s="73"/>
      <c r="D19" s="74"/>
      <c r="E19" s="75"/>
      <c r="F19" s="76"/>
      <c r="G19" s="77"/>
      <c r="H19" s="78"/>
      <c r="I19" s="79"/>
      <c r="J19" s="10">
        <f t="shared" si="0"/>
        <v>0</v>
      </c>
    </row>
    <row r="20" spans="1:20" x14ac:dyDescent="0.2">
      <c r="A20" s="1"/>
      <c r="B20" s="1"/>
      <c r="C20" s="80"/>
      <c r="D20" s="80"/>
      <c r="E20" s="80"/>
      <c r="F20" s="80"/>
      <c r="G20" s="80"/>
      <c r="H20" s="80"/>
      <c r="I20" s="1"/>
      <c r="J20" s="1"/>
    </row>
    <row r="21" spans="1:20" x14ac:dyDescent="0.2">
      <c r="A21" s="1"/>
      <c r="B21" s="1"/>
      <c r="C21" s="1"/>
      <c r="D21" s="1"/>
      <c r="E21" s="1"/>
      <c r="F21" s="1"/>
      <c r="G21" s="1"/>
      <c r="H21" s="1"/>
      <c r="I21" s="11" t="s">
        <v>26</v>
      </c>
      <c r="J21" s="12">
        <f>SUM(J15:J20)</f>
        <v>25875</v>
      </c>
      <c r="K21" s="13"/>
      <c r="L21" s="14"/>
    </row>
    <row r="22" spans="1:20" x14ac:dyDescent="0.2">
      <c r="A22" s="1"/>
      <c r="B22" s="1"/>
      <c r="C22" s="1"/>
      <c r="D22" s="1"/>
      <c r="E22" s="1"/>
      <c r="F22" s="1"/>
      <c r="G22" s="1"/>
      <c r="H22" s="1"/>
      <c r="I22" s="15" t="s">
        <v>27</v>
      </c>
      <c r="J22" s="16">
        <f>J21*0.16</f>
        <v>4140</v>
      </c>
      <c r="L22" s="17"/>
    </row>
    <row r="23" spans="1:20" x14ac:dyDescent="0.2">
      <c r="A23" s="18" t="s">
        <v>28</v>
      </c>
      <c r="B23" s="19"/>
      <c r="C23" s="19"/>
      <c r="D23" s="19"/>
      <c r="E23" s="20"/>
      <c r="F23" s="1"/>
      <c r="G23" s="1"/>
      <c r="H23" s="1"/>
      <c r="I23" s="21" t="s">
        <v>24</v>
      </c>
      <c r="J23" s="22">
        <f>J21+J22</f>
        <v>30015</v>
      </c>
    </row>
    <row r="24" spans="1:20" x14ac:dyDescent="0.2">
      <c r="A24" s="23" t="s">
        <v>29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2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L16:T17"/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4:D14"/>
    <mergeCell ref="E14:G14"/>
    <mergeCell ref="H14:I14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F70955CE-60A3-4877-983E-CFFBA8450445}">
      <formula1>INDIRECT(++$B$11)</formula1>
    </dataValidation>
  </dataValidations>
  <hyperlinks>
    <hyperlink ref="A24" r:id="rId1" xr:uid="{DE790639-41D4-4F5E-8843-560E213203AB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MIMI CESMA  soporte a redes</vt:lpstr>
      <vt:lpstr>MIMI CESMA Anterior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2026-01-12T19:34:46Z</dcterms:created>
  <dcterms:modified xsi:type="dcterms:W3CDTF">2026-01-13T23:59:27Z</dcterms:modified>
</cp:coreProperties>
</file>