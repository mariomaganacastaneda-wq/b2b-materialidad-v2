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7"/>
  <workbookPr autoCompressPictures="0"/>
  <mc:AlternateContent xmlns:mc="http://schemas.openxmlformats.org/markup-compatibility/2006">
    <mc:Choice Requires="x15">
      <x15ac:absPath xmlns:x15ac="http://schemas.microsoft.com/office/spreadsheetml/2010/11/ac" url="/Users/ricardo/Documents/silvia 2026 Ccon contrato Renta/Silvia Renta/"/>
    </mc:Choice>
  </mc:AlternateContent>
  <xr:revisionPtr revIDLastSave="0" documentId="13_ncr:1_{C8169B42-3F76-7540-91B5-59C5E5C3C4A4}" xr6:coauthVersionLast="47" xr6:coauthVersionMax="47" xr10:uidLastSave="{00000000-0000-0000-0000-000000000000}"/>
  <bookViews>
    <workbookView xWindow="5340" yWindow="500" windowWidth="23260" windowHeight="12460" xr2:uid="{00000000-000D-0000-FFFF-FFFF00000000}"/>
  </bookViews>
  <sheets>
    <sheet name="FACTURA" sheetId="4" r:id="rId1"/>
    <sheet name="Hoja1" sheetId="5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J15" i="4" l="1"/>
  <c r="J16" i="4"/>
  <c r="J17" i="4"/>
  <c r="J19" i="4" l="1"/>
  <c r="J20" i="4" s="1"/>
  <c r="J21" i="4" l="1"/>
</calcChain>
</file>

<file path=xl/sharedStrings.xml><?xml version="1.0" encoding="utf-8"?>
<sst xmlns="http://schemas.openxmlformats.org/spreadsheetml/2006/main" count="108" uniqueCount="102">
  <si>
    <t>FORMA DE PAGO</t>
  </si>
  <si>
    <t>METODO DE PAGO</t>
  </si>
  <si>
    <t>CLAVE DEL PRODUCTO</t>
  </si>
  <si>
    <t>CANTIDAD</t>
  </si>
  <si>
    <t>UNIDAD</t>
  </si>
  <si>
    <t>DESCRIPCION</t>
  </si>
  <si>
    <t>Precio Unitario</t>
  </si>
  <si>
    <t>Total</t>
  </si>
  <si>
    <t>Subtotal</t>
  </si>
  <si>
    <t>TIPO DE COMPROBANTE</t>
  </si>
  <si>
    <t>INGRESO</t>
  </si>
  <si>
    <t>Empresa que emite:</t>
  </si>
  <si>
    <t>NEOCONSTRUYENDO</t>
  </si>
  <si>
    <t>PROMOSERVICIOS</t>
  </si>
  <si>
    <t>KUNEM</t>
  </si>
  <si>
    <t>Empresas</t>
  </si>
  <si>
    <t>601-General de Ley Personas Morales</t>
  </si>
  <si>
    <t>603-Personas Morales con Fines no Lucrativos</t>
  </si>
  <si>
    <t>605- Sueldos y Salarios e Ingresos Asimilados a Salarios</t>
  </si>
  <si>
    <t>607-Régimen de Enajenación o Adquisición de Bienes</t>
  </si>
  <si>
    <t>606-Arrendamiento</t>
  </si>
  <si>
    <t>608-Demás ingresos</t>
  </si>
  <si>
    <t>609-Consolidación</t>
  </si>
  <si>
    <t>610-Residentes en el Extranjero sin Establecimiento Permanente en México</t>
  </si>
  <si>
    <t>611- Ingresos por Dividendos (socios y accionistas)</t>
  </si>
  <si>
    <t>612- Personas Físicas con Actividades Empresariales y Profesionales</t>
  </si>
  <si>
    <t>614- Ingresos por intereses</t>
  </si>
  <si>
    <t>615-Régimen de los ingresos por obtención de premios</t>
  </si>
  <si>
    <t>616- Sin obligaciones fiscales</t>
  </si>
  <si>
    <t>620- Sociedades Cooperativas de Producción que optan por diferir sus ingresos</t>
  </si>
  <si>
    <t>621- Incorporación Fiscal</t>
  </si>
  <si>
    <t>622-Actividades Agrícolas, Ganaderas, Silvícolas y Pesqueras</t>
  </si>
  <si>
    <t>623- Opcional para Grupos de Sociedades</t>
  </si>
  <si>
    <t>624-Coordinados</t>
  </si>
  <si>
    <t>625-Régimen de las Actividades Empresariales con ingresos a través de Plataformas Tecnológicas</t>
  </si>
  <si>
    <t>626-Régimen Simplificado de Confianza</t>
  </si>
  <si>
    <t>628-Hidrocarburos</t>
  </si>
  <si>
    <t>629-De los Regímenes Fiscales Preferentes y de las Empresas Multinacionales</t>
  </si>
  <si>
    <t>630-Enajenación de acciones en bolsa de valores</t>
  </si>
  <si>
    <t>Regimen fiscal</t>
  </si>
  <si>
    <t>G01-ADQUISICION DE MERCANCIAS</t>
  </si>
  <si>
    <t>G03-GASTOS EN GENERAL</t>
  </si>
  <si>
    <t>I01 -CONSTRUCCIONES</t>
  </si>
  <si>
    <t>I02 - MOBILIARIO Y EQUIPO DE OFICINA POR INVERSION</t>
  </si>
  <si>
    <t>I03- EQUIPO DE TRANSPORTE</t>
  </si>
  <si>
    <t>I04- EQUIPO DE COMPUTO Y ACCESORIOS</t>
  </si>
  <si>
    <t>I05- DADOS, TROQUELES, MOLDES, MATRICES Y HERRAMIENTA</t>
  </si>
  <si>
    <t>I06- COMUNICACIONES SATELITALES</t>
  </si>
  <si>
    <t>I08- OTRA MAQUINARIA Y EQUIPO</t>
  </si>
  <si>
    <t>S01- SIN EFECTOS FISCALES</t>
  </si>
  <si>
    <t>USO DE CFDI</t>
  </si>
  <si>
    <t>01-EFECTIVO</t>
  </si>
  <si>
    <t>02- CHEQUE NOMINATIVO</t>
  </si>
  <si>
    <t>03- TRANSFERENCIA ELECTRONICA DE FONDOS</t>
  </si>
  <si>
    <t>99- POR DEFINIR</t>
  </si>
  <si>
    <t>PUE- PAGO EN UNA SOLA EXHIBICION</t>
  </si>
  <si>
    <t>PPD-PAGO EN PARCIALIDADES O DIFERIDO</t>
  </si>
  <si>
    <t>E48-SERVICIO</t>
  </si>
  <si>
    <t>H87- PIEZA</t>
  </si>
  <si>
    <t>MTR- METRO</t>
  </si>
  <si>
    <t>MTK- MT2</t>
  </si>
  <si>
    <t>MTQ-MT3</t>
  </si>
  <si>
    <t>LTR-LITRO</t>
  </si>
  <si>
    <t>KT-KIT</t>
  </si>
  <si>
    <t>SET-JUEGO</t>
  </si>
  <si>
    <t>NT- TONELADA</t>
  </si>
  <si>
    <t>KGM-KILOGRAMO</t>
  </si>
  <si>
    <t>XBX-CAJA</t>
  </si>
  <si>
    <t>11-EQUIPOS</t>
  </si>
  <si>
    <t>XPK-PAQUETE</t>
  </si>
  <si>
    <t>PR-PAR</t>
  </si>
  <si>
    <t>DAY-DIA</t>
  </si>
  <si>
    <t>ACT-ACTIVIDAD</t>
  </si>
  <si>
    <t>LO-LOTE</t>
  </si>
  <si>
    <t>TERREL</t>
  </si>
  <si>
    <t>- Todos los campos son obligatorios</t>
  </si>
  <si>
    <t>RFC   :</t>
  </si>
  <si>
    <t>DIRECCION FISCAL:</t>
  </si>
  <si>
    <t>REGIMEN FISCAL:</t>
  </si>
  <si>
    <t>USO DEL CFD:</t>
  </si>
  <si>
    <t>FORMA DE PAGO:</t>
  </si>
  <si>
    <t>METODO DE PAGO:</t>
  </si>
  <si>
    <t>-se encuentra en el CIF.(Cliente o razon social completa, direccion fiscal y regimen fiscal)</t>
  </si>
  <si>
    <t>Cliente (Razon social):</t>
  </si>
  <si>
    <t>IVA16%</t>
  </si>
  <si>
    <t>KO INTERNATIONAL TRADING</t>
  </si>
  <si>
    <t>XSA-SACO</t>
  </si>
  <si>
    <t>COMERCIALIZADORA UNIVERSAL LATAM</t>
  </si>
  <si>
    <t>LARSON SERVICES</t>
  </si>
  <si>
    <t>SERVINTE SERVICIOS INTEGRALES</t>
  </si>
  <si>
    <t>E27-DOSIS</t>
  </si>
  <si>
    <t>LM-METRO LINEAL</t>
  </si>
  <si>
    <t>STN-TONELADA O TONELADA CARGA</t>
  </si>
  <si>
    <t>A75-TONELADA DE CARGA</t>
  </si>
  <si>
    <t>26-TONELADA REAL</t>
  </si>
  <si>
    <t>XRO-ROLLO</t>
  </si>
  <si>
    <t>Para mas informacion las claves SAT se encuenta en:</t>
  </si>
  <si>
    <t>http://pys.sat.gob.mx/PyS/catPyS.aspx</t>
  </si>
  <si>
    <t>SEIDCO</t>
  </si>
  <si>
    <t>IIW-220502-U90</t>
  </si>
  <si>
    <t>CP 03720 , ATLANTA 188, col NOCHEBUENA, BENITO JUAREZ, CDMX</t>
  </si>
  <si>
    <t>Arrenamiento Inmueble . Enero 2026, cuenta predial 039315110005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</si>
</sst>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80A]d&quot; de &quot;mmmm&quot; de &quot;yyyy;@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0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1" fillId="2" borderId="0" xfId="0" applyFont="1" applyFill="1"/>
    <xf numFmtId="0" fontId="0" fillId="2" borderId="1" xfId="0" applyFill="1" applyBorder="1"/>
    <xf numFmtId="4" fontId="0" fillId="2" borderId="1" xfId="0" applyNumberFormat="1" applyFill="1" applyBorder="1"/>
    <xf numFmtId="0" fontId="2" fillId="2" borderId="1" xfId="0" applyFont="1" applyFill="1" applyBorder="1"/>
    <xf numFmtId="4" fontId="2" fillId="2" borderId="1" xfId="0" applyNumberFormat="1" applyFont="1" applyFill="1" applyBorder="1"/>
    <xf numFmtId="4" fontId="1" fillId="2" borderId="1" xfId="0" applyNumberFormat="1" applyFont="1" applyFill="1" applyBorder="1"/>
    <xf numFmtId="4" fontId="0" fillId="2" borderId="4" xfId="0" applyNumberFormat="1" applyFill="1" applyBorder="1" applyAlignment="1">
      <alignment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0" xfId="0" applyFill="1" applyAlignment="1">
      <alignment vertical="top"/>
    </xf>
    <xf numFmtId="0" fontId="1" fillId="3" borderId="1" xfId="0" applyFont="1" applyFill="1" applyBorder="1"/>
    <xf numFmtId="0" fontId="1" fillId="4" borderId="1" xfId="0" applyFont="1" applyFill="1" applyBorder="1" applyAlignment="1">
      <alignment horizontal="center" vertical="center"/>
    </xf>
    <xf numFmtId="0" fontId="4" fillId="2" borderId="7" xfId="0" applyFont="1" applyFill="1" applyBorder="1"/>
    <xf numFmtId="0" fontId="0" fillId="2" borderId="5" xfId="0" applyFill="1" applyBorder="1"/>
    <xf numFmtId="0" fontId="0" fillId="2" borderId="8" xfId="0" applyFill="1" applyBorder="1"/>
    <xf numFmtId="0" fontId="0" fillId="2" borderId="6" xfId="0" applyFill="1" applyBorder="1" applyAlignment="1">
      <alignment vertical="top"/>
    </xf>
    <xf numFmtId="0" fontId="0" fillId="2" borderId="11" xfId="0" applyFill="1" applyBorder="1" applyAlignment="1">
      <alignment vertical="top"/>
    </xf>
    <xf numFmtId="0" fontId="5" fillId="2" borderId="10" xfId="1" applyFill="1" applyBorder="1"/>
    <xf numFmtId="0" fontId="0" fillId="0" borderId="1" xfId="0" applyBorder="1" applyAlignment="1">
      <alignment horizontal="center" vertical="center" wrapText="1"/>
    </xf>
    <xf numFmtId="0" fontId="7" fillId="5" borderId="1" xfId="0" applyFont="1" applyFill="1" applyBorder="1"/>
    <xf numFmtId="0" fontId="7" fillId="5" borderId="2" xfId="0" applyFont="1" applyFill="1" applyBorder="1"/>
    <xf numFmtId="0" fontId="7" fillId="5" borderId="1" xfId="0" applyFont="1" applyFill="1" applyBorder="1" applyAlignment="1">
      <alignment vertical="top"/>
    </xf>
    <xf numFmtId="4" fontId="0" fillId="2" borderId="2" xfId="0" applyNumberFormat="1" applyFill="1" applyBorder="1" applyAlignment="1">
      <alignment horizontal="center" vertical="center" wrapText="1"/>
    </xf>
    <xf numFmtId="4" fontId="0" fillId="2" borderId="4" xfId="0" applyNumberForma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164" fontId="0" fillId="2" borderId="1" xfId="0" applyNumberFormat="1" applyFill="1" applyBorder="1"/>
    <xf numFmtId="0" fontId="1" fillId="4" borderId="2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49" fontId="4" fillId="0" borderId="7" xfId="0" applyNumberFormat="1" applyFont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49" fontId="4" fillId="0" borderId="8" xfId="0" applyNumberFormat="1" applyFont="1" applyBorder="1" applyAlignment="1">
      <alignment horizontal="center" vertical="center" wrapText="1"/>
    </xf>
    <xf numFmtId="49" fontId="4" fillId="0" borderId="9" xfId="0" applyNumberFormat="1" applyFont="1" applyBorder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49" fontId="4" fillId="0" borderId="12" xfId="0" applyNumberFormat="1" applyFont="1" applyBorder="1" applyAlignment="1">
      <alignment horizontal="center" vertical="center" wrapText="1"/>
    </xf>
    <xf numFmtId="49" fontId="4" fillId="0" borderId="10" xfId="0" applyNumberFormat="1" applyFont="1" applyBorder="1" applyAlignment="1">
      <alignment horizontal="center" vertical="center" wrapText="1"/>
    </xf>
    <xf numFmtId="49" fontId="4" fillId="0" borderId="6" xfId="0" applyNumberFormat="1" applyFont="1" applyBorder="1" applyAlignment="1">
      <alignment horizontal="center" vertical="center" wrapText="1"/>
    </xf>
    <xf numFmtId="49" fontId="4" fillId="0" borderId="11" xfId="0" applyNumberFormat="1" applyFont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/>
    </xf>
    <xf numFmtId="0" fontId="7" fillId="5" borderId="5" xfId="0" applyFont="1" applyFill="1" applyBorder="1" applyAlignment="1">
      <alignment horizontal="left" vertical="center"/>
    </xf>
    <xf numFmtId="0" fontId="7" fillId="5" borderId="0" xfId="0" applyFont="1" applyFill="1" applyAlignment="1">
      <alignment horizontal="left" vertical="center"/>
    </xf>
    <xf numFmtId="0" fontId="7" fillId="5" borderId="6" xfId="0" applyFont="1" applyFill="1" applyBorder="1" applyAlignment="1">
      <alignment horizontal="left" vertical="center"/>
    </xf>
    <xf numFmtId="0" fontId="0" fillId="2" borderId="9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2" xfId="0" applyFill="1" applyBorder="1" applyAlignment="1">
      <alignment horizontal="center"/>
    </xf>
    <xf numFmtId="0" fontId="3" fillId="0" borderId="7" xfId="0" applyFont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  <xf numFmtId="0" fontId="3" fillId="0" borderId="9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12" xfId="0" applyFont="1" applyBorder="1" applyAlignment="1">
      <alignment horizontal="center" wrapText="1"/>
    </xf>
    <xf numFmtId="0" fontId="3" fillId="0" borderId="10" xfId="0" applyFont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3" fillId="0" borderId="11" xfId="0" applyFont="1" applyBorder="1" applyAlignment="1">
      <alignment horizontal="center" wrapText="1"/>
    </xf>
    <xf numFmtId="0" fontId="6" fillId="2" borderId="2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49" fontId="4" fillId="2" borderId="7" xfId="0" applyNumberFormat="1" applyFont="1" applyFill="1" applyBorder="1" applyAlignment="1">
      <alignment horizontal="center" vertical="center" wrapText="1"/>
    </xf>
    <xf numFmtId="49" fontId="4" fillId="2" borderId="5" xfId="0" applyNumberFormat="1" applyFont="1" applyFill="1" applyBorder="1" applyAlignment="1">
      <alignment horizontal="center" vertical="center" wrapText="1"/>
    </xf>
    <xf numFmtId="49" fontId="4" fillId="2" borderId="8" xfId="0" applyNumberFormat="1" applyFont="1" applyFill="1" applyBorder="1" applyAlignment="1">
      <alignment horizontal="center" vertical="center" wrapText="1"/>
    </xf>
    <xf numFmtId="49" fontId="4" fillId="2" borderId="9" xfId="0" applyNumberFormat="1" applyFont="1" applyFill="1" applyBorder="1" applyAlignment="1">
      <alignment horizontal="center" vertical="center" wrapText="1"/>
    </xf>
    <xf numFmtId="49" fontId="4" fillId="2" borderId="0" xfId="0" applyNumberFormat="1" applyFont="1" applyFill="1" applyAlignment="1">
      <alignment horizontal="center" vertical="center" wrapText="1"/>
    </xf>
    <xf numFmtId="49" fontId="4" fillId="2" borderId="12" xfId="0" applyNumberFormat="1" applyFont="1" applyFill="1" applyBorder="1" applyAlignment="1">
      <alignment horizontal="center" vertical="center" wrapText="1"/>
    </xf>
    <xf numFmtId="49" fontId="4" fillId="2" borderId="10" xfId="0" applyNumberFormat="1" applyFont="1" applyFill="1" applyBorder="1" applyAlignment="1">
      <alignment horizontal="center" vertical="center" wrapText="1"/>
    </xf>
    <xf numFmtId="49" fontId="4" fillId="2" borderId="6" xfId="0" applyNumberFormat="1" applyFont="1" applyFill="1" applyBorder="1" applyAlignment="1">
      <alignment horizontal="center" vertical="center" wrapText="1"/>
    </xf>
    <xf numFmtId="49" fontId="4" fillId="2" borderId="11" xfId="0" applyNumberFormat="1" applyFont="1" applyFill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29C7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35:A43" totalsRowShown="0">
  <autoFilter ref="A35:A43" xr:uid="{00000000-0009-0000-0100-000001000000}"/>
  <tableColumns count="1">
    <tableColumn id="1" xr3:uid="{00000000-0010-0000-0000-000001000000}" name="Empresa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2" displayName="Tabla2" ref="A10:A33" totalsRowShown="0">
  <autoFilter ref="A10:A33" xr:uid="{00000000-0009-0000-0100-000002000000}"/>
  <tableColumns count="1">
    <tableColumn id="1" xr3:uid="{00000000-0010-0000-0100-000001000000}" name="Regimen fisca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a3" displayName="Tabla3" ref="C1:C11" totalsRowShown="0">
  <autoFilter ref="C1:C11" xr:uid="{00000000-0009-0000-0100-000003000000}"/>
  <tableColumns count="1">
    <tableColumn id="1" xr3:uid="{00000000-0010-0000-0200-000001000000}" name="USO DE CFDI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a4" displayName="Tabla4" ref="C13:C17" totalsRowShown="0">
  <autoFilter ref="C13:C17" xr:uid="{00000000-0009-0000-0100-000004000000}"/>
  <tableColumns count="1">
    <tableColumn id="1" xr3:uid="{00000000-0010-0000-0300-000001000000}" name="FORMA DE PAG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a5" displayName="Tabla5" ref="C20:C22" totalsRowShown="0">
  <autoFilter ref="C20:C22" xr:uid="{00000000-0009-0000-0100-000005000000}"/>
  <tableColumns count="1">
    <tableColumn id="1" xr3:uid="{00000000-0010-0000-0400-000001000000}" name="METODO DE PAGO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a6" displayName="Tabla6" ref="C25:C50" totalsRowShown="0">
  <autoFilter ref="C25:C50" xr:uid="{00000000-0009-0000-0100-000006000000}"/>
  <tableColumns count="1">
    <tableColumn id="1" xr3:uid="{00000000-0010-0000-0500-000001000000}" name="UNIDA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ys.sat.gob.mx/PyS/catPyS.aspx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"/>
  <sheetViews>
    <sheetView tabSelected="1" zoomScale="85" zoomScaleNormal="85" workbookViewId="0">
      <selection activeCell="B4" sqref="B4:J4"/>
    </sheetView>
  </sheetViews>
  <sheetFormatPr baseColWidth="10" defaultRowHeight="15" x14ac:dyDescent="0.2"/>
  <cols>
    <col min="1" max="1" width="21.5" customWidth="1"/>
    <col min="4" max="4" width="6.33203125" customWidth="1"/>
    <col min="7" max="7" width="17.6640625" customWidth="1"/>
    <col min="8" max="8" width="7.6640625" customWidth="1"/>
    <col min="9" max="9" width="8.6640625" customWidth="1"/>
    <col min="10" max="10" width="13.6640625" customWidth="1"/>
  </cols>
  <sheetData>
    <row r="1" spans="1:10" x14ac:dyDescent="0.2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2">
      <c r="A2" s="12" t="s">
        <v>11</v>
      </c>
      <c r="B2" s="33"/>
      <c r="C2" s="34"/>
      <c r="D2" s="34"/>
      <c r="E2" s="35"/>
      <c r="F2" s="1"/>
      <c r="G2" s="12" t="s">
        <v>9</v>
      </c>
      <c r="H2" s="36" t="s">
        <v>10</v>
      </c>
      <c r="I2" s="36"/>
      <c r="J2" s="36"/>
    </row>
    <row r="3" spans="1:10" ht="21" x14ac:dyDescent="0.25">
      <c r="A3" s="3"/>
      <c r="B3" s="52" t="s">
        <v>98</v>
      </c>
      <c r="C3" s="52"/>
      <c r="D3" s="52"/>
      <c r="E3" s="52"/>
      <c r="F3" s="1"/>
      <c r="G3" s="1"/>
      <c r="H3" s="1"/>
      <c r="I3" s="1"/>
      <c r="J3" s="1"/>
    </row>
    <row r="4" spans="1:10" ht="16" x14ac:dyDescent="0.2">
      <c r="A4" s="21" t="s">
        <v>83</v>
      </c>
      <c r="B4" s="33"/>
      <c r="C4" s="34"/>
      <c r="D4" s="34"/>
      <c r="E4" s="34"/>
      <c r="F4" s="34"/>
      <c r="G4" s="34"/>
      <c r="H4" s="34"/>
      <c r="I4" s="34"/>
      <c r="J4" s="35"/>
    </row>
    <row r="5" spans="1:10" ht="16" x14ac:dyDescent="0.2">
      <c r="A5" s="22" t="s">
        <v>76</v>
      </c>
      <c r="B5" s="56" t="s">
        <v>99</v>
      </c>
      <c r="C5" s="57"/>
      <c r="D5" s="57"/>
      <c r="E5" s="57"/>
      <c r="F5" s="57"/>
      <c r="G5" s="58"/>
      <c r="H5" s="42" t="s">
        <v>82</v>
      </c>
      <c r="I5" s="43"/>
      <c r="J5" s="44"/>
    </row>
    <row r="6" spans="1:10" x14ac:dyDescent="0.2">
      <c r="A6" s="53" t="s">
        <v>77</v>
      </c>
      <c r="B6" s="59" t="s">
        <v>100</v>
      </c>
      <c r="C6" s="60"/>
      <c r="D6" s="60"/>
      <c r="E6" s="60"/>
      <c r="F6" s="60"/>
      <c r="G6" s="61"/>
      <c r="H6" s="45"/>
      <c r="I6" s="46"/>
      <c r="J6" s="47"/>
    </row>
    <row r="7" spans="1:10" x14ac:dyDescent="0.2">
      <c r="A7" s="54"/>
      <c r="B7" s="62"/>
      <c r="C7" s="63"/>
      <c r="D7" s="63"/>
      <c r="E7" s="63"/>
      <c r="F7" s="63"/>
      <c r="G7" s="64"/>
      <c r="H7" s="45"/>
      <c r="I7" s="46"/>
      <c r="J7" s="47"/>
    </row>
    <row r="8" spans="1:10" x14ac:dyDescent="0.2">
      <c r="A8" s="55"/>
      <c r="B8" s="65"/>
      <c r="C8" s="66"/>
      <c r="D8" s="66"/>
      <c r="E8" s="66"/>
      <c r="F8" s="66"/>
      <c r="G8" s="67"/>
      <c r="H8" s="45"/>
      <c r="I8" s="46"/>
      <c r="J8" s="47"/>
    </row>
    <row r="9" spans="1:10" ht="16" x14ac:dyDescent="0.2">
      <c r="A9" s="21" t="s">
        <v>78</v>
      </c>
      <c r="B9" s="68"/>
      <c r="C9" s="69"/>
      <c r="D9" s="69"/>
      <c r="E9" s="69"/>
      <c r="F9" s="69"/>
      <c r="G9" s="70"/>
      <c r="H9" s="48"/>
      <c r="I9" s="49"/>
      <c r="J9" s="50"/>
    </row>
    <row r="10" spans="1:10" ht="16" x14ac:dyDescent="0.2">
      <c r="A10" s="23" t="s">
        <v>79</v>
      </c>
      <c r="B10" s="39" t="s">
        <v>41</v>
      </c>
      <c r="C10" s="40"/>
      <c r="D10" s="40"/>
      <c r="E10" s="40"/>
      <c r="F10" s="40"/>
      <c r="G10" s="41"/>
      <c r="H10" s="71" t="s">
        <v>75</v>
      </c>
      <c r="I10" s="72"/>
      <c r="J10" s="73"/>
    </row>
    <row r="11" spans="1:10" ht="16" x14ac:dyDescent="0.2">
      <c r="A11" s="23" t="s">
        <v>80</v>
      </c>
      <c r="B11" s="39" t="s">
        <v>53</v>
      </c>
      <c r="C11" s="40"/>
      <c r="D11" s="40"/>
      <c r="E11" s="40"/>
      <c r="F11" s="40"/>
      <c r="G11" s="41"/>
      <c r="H11" s="74"/>
      <c r="I11" s="75"/>
      <c r="J11" s="76"/>
    </row>
    <row r="12" spans="1:10" ht="16" x14ac:dyDescent="0.2">
      <c r="A12" s="23" t="s">
        <v>81</v>
      </c>
      <c r="B12" s="39" t="s">
        <v>55</v>
      </c>
      <c r="C12" s="40"/>
      <c r="D12" s="40"/>
      <c r="E12" s="40"/>
      <c r="F12" s="40"/>
      <c r="G12" s="41"/>
      <c r="H12" s="77"/>
      <c r="I12" s="78"/>
      <c r="J12" s="79"/>
    </row>
    <row r="13" spans="1:10" x14ac:dyDescent="0.2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x14ac:dyDescent="0.2">
      <c r="A14" s="13" t="s">
        <v>2</v>
      </c>
      <c r="B14" s="13" t="s">
        <v>3</v>
      </c>
      <c r="C14" s="37" t="s">
        <v>4</v>
      </c>
      <c r="D14" s="38"/>
      <c r="E14" s="37" t="s">
        <v>5</v>
      </c>
      <c r="F14" s="51"/>
      <c r="G14" s="38"/>
      <c r="H14" s="37" t="s">
        <v>6</v>
      </c>
      <c r="I14" s="38"/>
      <c r="J14" s="13" t="s">
        <v>7</v>
      </c>
    </row>
    <row r="15" spans="1:10" ht="46.75" customHeight="1" x14ac:dyDescent="0.2">
      <c r="A15" s="20">
        <v>80131502</v>
      </c>
      <c r="B15" s="10">
        <v>1</v>
      </c>
      <c r="C15" s="28" t="s">
        <v>57</v>
      </c>
      <c r="D15" s="29"/>
      <c r="E15" s="30" t="s">
        <v>101</v>
      </c>
      <c r="F15" s="31"/>
      <c r="G15" s="32"/>
      <c r="H15" s="24">
        <v>83500</v>
      </c>
      <c r="I15" s="25"/>
      <c r="J15" s="9">
        <f t="shared" ref="J15:J17" si="0">B15*H15</f>
        <v>83500</v>
      </c>
    </row>
    <row r="16" spans="1:10" ht="15" customHeight="1" x14ac:dyDescent="0.2">
      <c r="A16" s="20"/>
      <c r="B16" s="10"/>
      <c r="C16" s="28"/>
      <c r="D16" s="29"/>
      <c r="E16" s="30"/>
      <c r="F16" s="31"/>
      <c r="G16" s="32"/>
      <c r="H16" s="24"/>
      <c r="I16" s="25"/>
      <c r="J16" s="9">
        <f t="shared" si="0"/>
        <v>0</v>
      </c>
    </row>
    <row r="17" spans="1:10" x14ac:dyDescent="0.2">
      <c r="A17" s="20"/>
      <c r="B17" s="10"/>
      <c r="C17" s="28"/>
      <c r="D17" s="29"/>
      <c r="E17" s="30"/>
      <c r="F17" s="31"/>
      <c r="G17" s="32"/>
      <c r="H17" s="24"/>
      <c r="I17" s="25"/>
      <c r="J17" s="9">
        <f t="shared" si="0"/>
        <v>0</v>
      </c>
    </row>
    <row r="18" spans="1:10" x14ac:dyDescent="0.2">
      <c r="A18" s="1"/>
      <c r="B18" s="1"/>
      <c r="C18" s="26"/>
      <c r="D18" s="26"/>
      <c r="E18" s="26"/>
      <c r="F18" s="26"/>
      <c r="G18" s="26"/>
      <c r="H18" s="27"/>
      <c r="I18" s="1"/>
      <c r="J18" s="1"/>
    </row>
    <row r="19" spans="1:10" x14ac:dyDescent="0.2">
      <c r="A19" s="1"/>
      <c r="B19" s="1"/>
      <c r="C19" s="1"/>
      <c r="D19" s="1"/>
      <c r="E19" s="1"/>
      <c r="F19" s="1"/>
      <c r="G19" s="1"/>
      <c r="H19" s="1"/>
      <c r="I19" s="4" t="s">
        <v>8</v>
      </c>
      <c r="J19" s="5">
        <f>SUM(J15:J18)</f>
        <v>83500</v>
      </c>
    </row>
    <row r="20" spans="1:10" x14ac:dyDescent="0.2">
      <c r="A20" s="1"/>
      <c r="B20" s="1"/>
      <c r="C20" s="1"/>
      <c r="D20" s="1"/>
      <c r="E20" s="1"/>
      <c r="F20" s="1"/>
      <c r="G20" s="1"/>
      <c r="H20" s="1"/>
      <c r="I20" s="6" t="s">
        <v>84</v>
      </c>
      <c r="J20" s="7">
        <f>J19*0.16</f>
        <v>13360</v>
      </c>
    </row>
    <row r="21" spans="1:10" x14ac:dyDescent="0.2">
      <c r="A21" s="14" t="s">
        <v>96</v>
      </c>
      <c r="B21" s="15"/>
      <c r="C21" s="15"/>
      <c r="D21" s="15"/>
      <c r="E21" s="16"/>
      <c r="F21" s="1"/>
      <c r="G21" s="1"/>
      <c r="H21" s="1"/>
      <c r="I21" s="2" t="s">
        <v>7</v>
      </c>
      <c r="J21" s="8">
        <f>J19+J20</f>
        <v>96860</v>
      </c>
    </row>
    <row r="22" spans="1:10" x14ac:dyDescent="0.2">
      <c r="A22" s="19" t="s">
        <v>97</v>
      </c>
      <c r="B22" s="17"/>
      <c r="C22" s="17"/>
      <c r="D22" s="17"/>
      <c r="E22" s="18"/>
      <c r="F22" s="11"/>
      <c r="G22" s="11"/>
      <c r="H22" s="1"/>
      <c r="I22" s="1"/>
      <c r="J22" s="1"/>
    </row>
  </sheetData>
  <mergeCells count="26">
    <mergeCell ref="A6:A8"/>
    <mergeCell ref="B5:G5"/>
    <mergeCell ref="B6:G8"/>
    <mergeCell ref="B9:G9"/>
    <mergeCell ref="H10:J12"/>
    <mergeCell ref="B2:E2"/>
    <mergeCell ref="H2:J2"/>
    <mergeCell ref="B4:J4"/>
    <mergeCell ref="C14:D14"/>
    <mergeCell ref="H14:I14"/>
    <mergeCell ref="B10:G10"/>
    <mergeCell ref="B11:G11"/>
    <mergeCell ref="B12:G12"/>
    <mergeCell ref="H5:J9"/>
    <mergeCell ref="E14:G14"/>
    <mergeCell ref="B3:E3"/>
    <mergeCell ref="H16:I16"/>
    <mergeCell ref="H17:I17"/>
    <mergeCell ref="C18:H18"/>
    <mergeCell ref="C15:D15"/>
    <mergeCell ref="H15:I15"/>
    <mergeCell ref="E15:G15"/>
    <mergeCell ref="C16:D16"/>
    <mergeCell ref="C17:D17"/>
    <mergeCell ref="E16:G16"/>
    <mergeCell ref="E17:G17"/>
  </mergeCells>
  <hyperlinks>
    <hyperlink ref="A22" r:id="rId1" xr:uid="{00000000-0004-0000-0000-000000000000}"/>
  </hyperlink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disablePrompts="1" count="7">
        <x14:dataValidation type="list" allowBlank="1" showInputMessage="1" showErrorMessage="1" errorTitle="Entrada no valida" error="Seleccione un regimen de la lista" promptTitle="Regimen Fiscal" prompt="Seleccione un Regimen de la lista" xr:uid="{00000000-0002-0000-0000-000000000000}">
          <x14:formula1>
            <xm:f>Hoja1!$A$11:$A$33</xm:f>
          </x14:formula1>
          <xm:sqref>B9:G9</xm:sqref>
        </x14:dataValidation>
        <x14:dataValidation type="list" allowBlank="1" showInputMessage="1" showErrorMessage="1" errorTitle="Entrada no Valida" error="Seleccione un uso de cfdi de la lista" promptTitle="USO DE CFDI" prompt="Seleccione un uso de CFDI de la lista" xr:uid="{00000000-0002-0000-0000-000001000000}">
          <x14:formula1>
            <xm:f>Hoja1!$C$2:$C$11</xm:f>
          </x14:formula1>
          <xm:sqref>B10:G10</xm:sqref>
        </x14:dataValidation>
        <x14:dataValidation type="list" allowBlank="1" showInputMessage="1" showErrorMessage="1" errorTitle="Entrada no Valida" error="Seleccione una forma de pago de la lista" promptTitle="FORMA DE PAGO" prompt="Seleccione una forma de pago de la lista" xr:uid="{00000000-0002-0000-0000-000002000000}">
          <x14:formula1>
            <xm:f>Hoja1!$C$14:$C$17</xm:f>
          </x14:formula1>
          <xm:sqref>B11:G11</xm:sqref>
        </x14:dataValidation>
        <x14:dataValidation type="list" allowBlank="1" showInputMessage="1" showErrorMessage="1" errorTitle="Entrada no Valida" error="Seleccione un metodo de pago de la lista" promptTitle="METODO DE PAGO" prompt="Seleccione un metodo de pago de la lista" xr:uid="{00000000-0002-0000-0000-000003000000}">
          <x14:formula1>
            <xm:f>Hoja1!$C$21:$C$22</xm:f>
          </x14:formula1>
          <xm:sqref>B12:G12</xm:sqref>
        </x14:dataValidation>
        <x14:dataValidation type="list" allowBlank="1" showInputMessage="1" showErrorMessage="1" errorTitle="Entrada no valida" error="Seleccione una unidad de la lista" promptTitle="UNIDAD" prompt="Seleccione una unidad de la lista" xr:uid="{00000000-0002-0000-0000-000004000000}">
          <x14:formula1>
            <xm:f>Hoja1!$C$26:$C$41</xm:f>
          </x14:formula1>
          <xm:sqref>C16:D17</xm:sqref>
        </x14:dataValidation>
        <x14:dataValidation type="list" allowBlank="1" showInputMessage="1" showErrorMessage="1" errorTitle="Entrada no valida" error="Seleccione una empresa de la lista" promptTitle="EMPRESAS" prompt="Seleccione una empresa de la lista" xr:uid="{00000000-0002-0000-0000-000005000000}">
          <x14:formula1>
            <xm:f>Hoja1!$A$36:$A$43</xm:f>
          </x14:formula1>
          <xm:sqref>B2:E2</xm:sqref>
        </x14:dataValidation>
        <x14:dataValidation type="list" allowBlank="1" showInputMessage="1" showErrorMessage="1" errorTitle="Entrada no valida" error="Seleccione una unidad de la lista" promptTitle="UNIDAD" prompt="Seleccione una unidad de la lista" xr:uid="{00000000-0002-0000-0000-000006000000}">
          <x14:formula1>
            <xm:f>Hoja1!$C$26:$C$49</xm:f>
          </x14:formula1>
          <xm:sqref>C15:D15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9"/>
  <sheetViews>
    <sheetView topLeftCell="A20" workbookViewId="0">
      <selection sqref="A1:D50"/>
    </sheetView>
  </sheetViews>
  <sheetFormatPr baseColWidth="10" defaultRowHeight="15" x14ac:dyDescent="0.2"/>
  <cols>
    <col min="1" max="1" width="39.5" customWidth="1"/>
    <col min="3" max="3" width="12" customWidth="1"/>
  </cols>
  <sheetData>
    <row r="1" spans="1:3" x14ac:dyDescent="0.2">
      <c r="C1" t="s">
        <v>50</v>
      </c>
    </row>
    <row r="2" spans="1:3" x14ac:dyDescent="0.2">
      <c r="C2" t="s">
        <v>40</v>
      </c>
    </row>
    <row r="3" spans="1:3" x14ac:dyDescent="0.2">
      <c r="C3" t="s">
        <v>41</v>
      </c>
    </row>
    <row r="4" spans="1:3" x14ac:dyDescent="0.2">
      <c r="C4" t="s">
        <v>42</v>
      </c>
    </row>
    <row r="5" spans="1:3" x14ac:dyDescent="0.2">
      <c r="C5" t="s">
        <v>43</v>
      </c>
    </row>
    <row r="6" spans="1:3" x14ac:dyDescent="0.2">
      <c r="C6" t="s">
        <v>44</v>
      </c>
    </row>
    <row r="7" spans="1:3" x14ac:dyDescent="0.2">
      <c r="C7" t="s">
        <v>45</v>
      </c>
    </row>
    <row r="8" spans="1:3" x14ac:dyDescent="0.2">
      <c r="C8" t="s">
        <v>46</v>
      </c>
    </row>
    <row r="9" spans="1:3" x14ac:dyDescent="0.2">
      <c r="C9" t="s">
        <v>47</v>
      </c>
    </row>
    <row r="10" spans="1:3" x14ac:dyDescent="0.2">
      <c r="A10" t="s">
        <v>39</v>
      </c>
      <c r="C10" t="s">
        <v>48</v>
      </c>
    </row>
    <row r="11" spans="1:3" x14ac:dyDescent="0.2">
      <c r="A11" t="s">
        <v>16</v>
      </c>
      <c r="C11" t="s">
        <v>49</v>
      </c>
    </row>
    <row r="12" spans="1:3" x14ac:dyDescent="0.2">
      <c r="A12" t="s">
        <v>17</v>
      </c>
    </row>
    <row r="13" spans="1:3" x14ac:dyDescent="0.2">
      <c r="A13" t="s">
        <v>18</v>
      </c>
      <c r="C13" t="s">
        <v>0</v>
      </c>
    </row>
    <row r="14" spans="1:3" x14ac:dyDescent="0.2">
      <c r="A14" t="s">
        <v>20</v>
      </c>
      <c r="C14" t="s">
        <v>51</v>
      </c>
    </row>
    <row r="15" spans="1:3" x14ac:dyDescent="0.2">
      <c r="A15" t="s">
        <v>19</v>
      </c>
      <c r="C15" t="s">
        <v>52</v>
      </c>
    </row>
    <row r="16" spans="1:3" x14ac:dyDescent="0.2">
      <c r="A16" t="s">
        <v>21</v>
      </c>
      <c r="C16" t="s">
        <v>53</v>
      </c>
    </row>
    <row r="17" spans="1:3" x14ac:dyDescent="0.2">
      <c r="A17" t="s">
        <v>22</v>
      </c>
      <c r="C17" t="s">
        <v>54</v>
      </c>
    </row>
    <row r="18" spans="1:3" x14ac:dyDescent="0.2">
      <c r="A18" t="s">
        <v>23</v>
      </c>
    </row>
    <row r="19" spans="1:3" x14ac:dyDescent="0.2">
      <c r="A19" t="s">
        <v>24</v>
      </c>
    </row>
    <row r="20" spans="1:3" x14ac:dyDescent="0.2">
      <c r="A20" t="s">
        <v>25</v>
      </c>
      <c r="C20" t="s">
        <v>1</v>
      </c>
    </row>
    <row r="21" spans="1:3" x14ac:dyDescent="0.2">
      <c r="A21" t="s">
        <v>26</v>
      </c>
      <c r="C21" t="s">
        <v>55</v>
      </c>
    </row>
    <row r="22" spans="1:3" x14ac:dyDescent="0.2">
      <c r="A22" t="s">
        <v>27</v>
      </c>
      <c r="C22" t="s">
        <v>56</v>
      </c>
    </row>
    <row r="23" spans="1:3" x14ac:dyDescent="0.2">
      <c r="A23" t="s">
        <v>28</v>
      </c>
    </row>
    <row r="24" spans="1:3" x14ac:dyDescent="0.2">
      <c r="A24" t="s">
        <v>29</v>
      </c>
    </row>
    <row r="25" spans="1:3" x14ac:dyDescent="0.2">
      <c r="A25" t="s">
        <v>30</v>
      </c>
      <c r="C25" t="s">
        <v>4</v>
      </c>
    </row>
    <row r="26" spans="1:3" x14ac:dyDescent="0.2">
      <c r="A26" t="s">
        <v>31</v>
      </c>
      <c r="C26" t="s">
        <v>57</v>
      </c>
    </row>
    <row r="27" spans="1:3" x14ac:dyDescent="0.2">
      <c r="A27" t="s">
        <v>32</v>
      </c>
      <c r="C27" t="s">
        <v>58</v>
      </c>
    </row>
    <row r="28" spans="1:3" x14ac:dyDescent="0.2">
      <c r="A28" t="s">
        <v>33</v>
      </c>
      <c r="C28" t="s">
        <v>66</v>
      </c>
    </row>
    <row r="29" spans="1:3" x14ac:dyDescent="0.2">
      <c r="A29" t="s">
        <v>34</v>
      </c>
      <c r="C29" t="s">
        <v>59</v>
      </c>
    </row>
    <row r="30" spans="1:3" x14ac:dyDescent="0.2">
      <c r="A30" t="s">
        <v>35</v>
      </c>
      <c r="C30" t="s">
        <v>60</v>
      </c>
    </row>
    <row r="31" spans="1:3" x14ac:dyDescent="0.2">
      <c r="A31" t="s">
        <v>36</v>
      </c>
      <c r="C31" t="s">
        <v>61</v>
      </c>
    </row>
    <row r="32" spans="1:3" x14ac:dyDescent="0.2">
      <c r="A32" t="s">
        <v>37</v>
      </c>
      <c r="C32" t="s">
        <v>62</v>
      </c>
    </row>
    <row r="33" spans="1:3" x14ac:dyDescent="0.2">
      <c r="A33" t="s">
        <v>38</v>
      </c>
      <c r="C33" t="s">
        <v>63</v>
      </c>
    </row>
    <row r="34" spans="1:3" x14ac:dyDescent="0.2">
      <c r="C34" t="s">
        <v>64</v>
      </c>
    </row>
    <row r="35" spans="1:3" x14ac:dyDescent="0.2">
      <c r="A35" t="s">
        <v>15</v>
      </c>
      <c r="C35" t="s">
        <v>65</v>
      </c>
    </row>
    <row r="36" spans="1:3" x14ac:dyDescent="0.2">
      <c r="A36" t="s">
        <v>14</v>
      </c>
      <c r="C36" t="s">
        <v>67</v>
      </c>
    </row>
    <row r="37" spans="1:3" x14ac:dyDescent="0.2">
      <c r="A37" t="s">
        <v>85</v>
      </c>
      <c r="C37" t="s">
        <v>68</v>
      </c>
    </row>
    <row r="38" spans="1:3" x14ac:dyDescent="0.2">
      <c r="A38" t="s">
        <v>87</v>
      </c>
      <c r="C38" t="s">
        <v>69</v>
      </c>
    </row>
    <row r="39" spans="1:3" x14ac:dyDescent="0.2">
      <c r="A39" t="s">
        <v>12</v>
      </c>
      <c r="C39" t="s">
        <v>70</v>
      </c>
    </row>
    <row r="40" spans="1:3" x14ac:dyDescent="0.2">
      <c r="A40" t="s">
        <v>89</v>
      </c>
      <c r="C40" t="s">
        <v>71</v>
      </c>
    </row>
    <row r="41" spans="1:3" x14ac:dyDescent="0.2">
      <c r="A41" t="s">
        <v>13</v>
      </c>
      <c r="C41" t="s">
        <v>72</v>
      </c>
    </row>
    <row r="42" spans="1:3" x14ac:dyDescent="0.2">
      <c r="A42" t="s">
        <v>74</v>
      </c>
      <c r="C42" t="s">
        <v>73</v>
      </c>
    </row>
    <row r="43" spans="1:3" x14ac:dyDescent="0.2">
      <c r="A43" t="s">
        <v>88</v>
      </c>
      <c r="C43" t="s">
        <v>92</v>
      </c>
    </row>
    <row r="44" spans="1:3" x14ac:dyDescent="0.2">
      <c r="C44" t="s">
        <v>86</v>
      </c>
    </row>
    <row r="45" spans="1:3" x14ac:dyDescent="0.2">
      <c r="C45" t="s">
        <v>90</v>
      </c>
    </row>
    <row r="46" spans="1:3" x14ac:dyDescent="0.2">
      <c r="C46" t="s">
        <v>91</v>
      </c>
    </row>
    <row r="47" spans="1:3" x14ac:dyDescent="0.2">
      <c r="C47" t="s">
        <v>93</v>
      </c>
    </row>
    <row r="48" spans="1:3" x14ac:dyDescent="0.2">
      <c r="C48" t="s">
        <v>94</v>
      </c>
    </row>
    <row r="49" spans="3:3" x14ac:dyDescent="0.2">
      <c r="C49" t="s">
        <v>95</v>
      </c>
    </row>
  </sheetData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FACTURA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Equipo_2</dc:creator>
  <cp:lastModifiedBy>Microsoft Office User</cp:lastModifiedBy>
  <dcterms:created xsi:type="dcterms:W3CDTF">2017-12-04T17:48:14Z</dcterms:created>
  <dcterms:modified xsi:type="dcterms:W3CDTF">2026-01-08T20:41:24Z</dcterms:modified>
</cp:coreProperties>
</file>