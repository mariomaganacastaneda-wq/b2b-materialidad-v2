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8E14C41C-C49D-48E8-AA13-9C7DD3520FE5}" xr6:coauthVersionLast="47" xr6:coauthVersionMax="47" xr10:uidLastSave="{00000000-0000-0000-0000-000000000000}"/>
  <bookViews>
    <workbookView xWindow="-108" yWindow="-108" windowWidth="23256" windowHeight="12456" xr2:uid="{3D044F6E-E3DB-4B2A-B846-EE622570E130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21" i="1" s="1"/>
  <c r="J22" i="1" l="1"/>
  <c r="J23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<sst xmlns="http://schemas.openxmlformats.org/spreadsheetml/2006/main" count="33" uniqueCount="32">
  <si>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</si>
  <si>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</si>
  <si>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</si>
  <si>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</si>
  <si>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</si>
  <si>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</si>
  <si>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</si>
  <si>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</si>
  <si>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</si>
  <si>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</si>
  <si>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</si>
  <si>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</si>
  <si>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</si>
  <si>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</si>
  <si>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</si>
  <si>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</si>
  <si>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</si>
  <si>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</si>
  <si>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</si>
  <si>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</si>
  <si>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</si>
  <si>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</si>
  <si>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</si>
  <si>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</si>
  <si>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</si>
  <si>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</si>
  <si>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</si>
  <si>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</si>
  <si>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</si>
  <si>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</si>
  <si>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SEIDCO</t>
  </si>
  <si>
    <t>CARGO QUINCENAL 1 DE 24 POR SERVICIOS DE LIMPIEZA Y CONSERVACION DE OFICINAS,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</si>
</sst>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2" fillId="2" borderId="0" xfId="0" applyFont="1" applyFill="1"/>
    <xf numFmtId="0" fontId="2" fillId="4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4" borderId="2" xfId="0" applyFont="1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4"/>
  <sheetViews>
    <sheetView tabSelected="1" zoomScale="85" zoomScaleNormal="85" workbookViewId="0">
      <selection activeCell="H16" sqref="H16:I16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3"/>
      <c r="C2" s="3"/>
      <c r="D2" s="3"/>
      <c r="E2" s="3"/>
      <c r="F2" s="1"/>
      <c r="G2" s="2" t="s">
        <v>1</v>
      </c>
      <c r="H2" s="4" t="s">
        <v>2</v>
      </c>
      <c r="I2" s="4"/>
      <c r="J2" s="4"/>
    </row>
    <row r="3" spans="1:10" x14ac:dyDescent="0.3">
      <c r="A3" s="5"/>
      <c r="B3" s="5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9"/>
    </row>
    <row r="5" spans="1:10" x14ac:dyDescent="0.3">
      <c r="A5" s="10" t="s">
        <v>5</v>
      </c>
      <c r="B5" s="11" t="s">
        <v>6</v>
      </c>
      <c r="C5" s="12"/>
      <c r="D5" s="12"/>
      <c r="E5" s="12"/>
      <c r="F5" s="12"/>
      <c r="G5" s="13"/>
      <c r="H5" s="14" t="s">
        <v>7</v>
      </c>
      <c r="I5" s="15"/>
      <c r="J5" s="16"/>
    </row>
    <row r="6" spans="1:10" x14ac:dyDescent="0.3">
      <c r="A6" s="17" t="s">
        <v>8</v>
      </c>
      <c r="B6" s="18" t="s">
        <v>9</v>
      </c>
      <c r="C6" s="19"/>
      <c r="D6" s="19"/>
      <c r="E6" s="19"/>
      <c r="F6" s="19"/>
      <c r="G6" s="20"/>
      <c r="H6" s="21"/>
      <c r="I6" s="22"/>
      <c r="J6" s="23"/>
    </row>
    <row r="7" spans="1:10" x14ac:dyDescent="0.3">
      <c r="A7" s="24"/>
      <c r="B7" s="25"/>
      <c r="C7" s="26"/>
      <c r="D7" s="26"/>
      <c r="E7" s="26"/>
      <c r="F7" s="26"/>
      <c r="G7" s="27"/>
      <c r="H7" s="21"/>
      <c r="I7" s="22"/>
      <c r="J7" s="23"/>
    </row>
    <row r="8" spans="1:10" x14ac:dyDescent="0.3">
      <c r="A8" s="28"/>
      <c r="B8" s="29"/>
      <c r="C8" s="30"/>
      <c r="D8" s="30"/>
      <c r="E8" s="30"/>
      <c r="F8" s="30"/>
      <c r="G8" s="31"/>
      <c r="H8" s="21"/>
      <c r="I8" s="22"/>
      <c r="J8" s="23"/>
    </row>
    <row r="9" spans="1:10" x14ac:dyDescent="0.3">
      <c r="A9" s="6" t="s">
        <v>10</v>
      </c>
      <c r="B9" s="32" t="s">
        <v>11</v>
      </c>
      <c r="C9" s="33"/>
      <c r="D9" s="33"/>
      <c r="E9" s="33"/>
      <c r="F9" s="33"/>
      <c r="G9" s="34"/>
      <c r="H9" s="35"/>
      <c r="I9" s="36"/>
      <c r="J9" s="37"/>
    </row>
    <row r="10" spans="1:10" x14ac:dyDescent="0.3">
      <c r="A10" s="38" t="s">
        <v>12</v>
      </c>
      <c r="B10" s="32" t="s">
        <v>13</v>
      </c>
      <c r="C10" s="33"/>
      <c r="D10" s="33"/>
      <c r="E10" s="33"/>
      <c r="F10" s="33"/>
      <c r="G10" s="34"/>
      <c r="H10" s="39" t="s">
        <v>14</v>
      </c>
      <c r="I10" s="40"/>
      <c r="J10" s="41"/>
    </row>
    <row r="11" spans="1:10" x14ac:dyDescent="0.3">
      <c r="A11" s="38" t="s">
        <v>15</v>
      </c>
      <c r="B11" s="32" t="s">
        <v>16</v>
      </c>
      <c r="C11" s="33"/>
      <c r="D11" s="33"/>
      <c r="E11" s="33"/>
      <c r="F11" s="33"/>
      <c r="G11" s="34"/>
      <c r="H11" s="42"/>
      <c r="I11" s="43"/>
      <c r="J11" s="44"/>
    </row>
    <row r="12" spans="1:10" x14ac:dyDescent="0.3">
      <c r="A12" s="38" t="s">
        <v>17</v>
      </c>
      <c r="B12" s="32" t="s">
        <v>18</v>
      </c>
      <c r="C12" s="33"/>
      <c r="D12" s="33"/>
      <c r="E12" s="33"/>
      <c r="F12" s="33"/>
      <c r="G12" s="34"/>
      <c r="H12" s="45"/>
      <c r="I12" s="46"/>
      <c r="J12" s="47"/>
    </row>
    <row r="13" spans="1:10" x14ac:dyDescent="0.3">
      <c r="A13" s="1"/>
      <c r="B13" s="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48" t="s">
        <v>19</v>
      </c>
      <c r="B14" s="48" t="s">
        <v>20</v>
      </c>
      <c r="C14" s="49" t="s">
        <v>21</v>
      </c>
      <c r="D14" s="50"/>
      <c r="E14" s="49" t="s">
        <v>22</v>
      </c>
      <c r="F14" s="51"/>
      <c r="G14" s="50"/>
      <c r="H14" s="49" t="s">
        <v>23</v>
      </c>
      <c r="I14" s="50"/>
      <c r="J14" s="48" t="s">
        <v>24</v>
      </c>
    </row>
    <row r="15" spans="1:10" ht="40.799999999999997" customHeight="1" x14ac:dyDescent="0.3">
      <c r="A15" s="52"/>
      <c r="B15" s="53">
        <v>1</v>
      </c>
      <c r="C15" s="54" t="s">
        <v>25</v>
      </c>
      <c r="D15" s="55"/>
      <c r="E15" s="56" t="s">
        <v>31</v>
      </c>
      <c r="F15" s="57"/>
      <c r="G15" s="58"/>
      <c r="H15" s="59">
        <v>17900</v>
      </c>
      <c r="I15" s="60"/>
      <c r="J15" s="61">
        <f t="shared" ref="J15:J19" si="0">B15*H15</f>
        <v>17900</v>
      </c>
    </row>
    <row r="16" spans="1:10" ht="14.55" customHeight="1" x14ac:dyDescent="0.3">
      <c r="A16" s="52"/>
      <c r="B16" s="53"/>
      <c r="C16" s="54"/>
      <c r="D16" s="55"/>
      <c r="E16" s="56"/>
      <c r="F16" s="57"/>
      <c r="G16" s="58"/>
      <c r="H16" s="59"/>
      <c r="I16" s="60"/>
      <c r="J16" s="61">
        <f t="shared" si="0"/>
        <v>0</v>
      </c>
    </row>
    <row r="17" spans="1:12" ht="14.55" customHeight="1" x14ac:dyDescent="0.3">
      <c r="A17" s="52"/>
      <c r="B17" s="53"/>
      <c r="C17" s="54"/>
      <c r="D17" s="55"/>
      <c r="E17" s="56"/>
      <c r="F17" s="57"/>
      <c r="G17" s="58"/>
      <c r="H17" s="59"/>
      <c r="I17" s="60"/>
      <c r="J17" s="61">
        <f t="shared" si="0"/>
        <v>0</v>
      </c>
    </row>
    <row r="18" spans="1:12" ht="14.55" customHeight="1" x14ac:dyDescent="0.3">
      <c r="A18" s="52"/>
      <c r="B18" s="53"/>
      <c r="C18" s="54"/>
      <c r="D18" s="55"/>
      <c r="E18" s="56"/>
      <c r="F18" s="57"/>
      <c r="G18" s="58"/>
      <c r="H18" s="59"/>
      <c r="I18" s="60"/>
      <c r="J18" s="61">
        <f t="shared" si="0"/>
        <v>0</v>
      </c>
    </row>
    <row r="19" spans="1:12" ht="14.55" customHeight="1" x14ac:dyDescent="0.3">
      <c r="A19" s="52"/>
      <c r="B19" s="53"/>
      <c r="C19" s="54"/>
      <c r="D19" s="55"/>
      <c r="E19" s="56"/>
      <c r="F19" s="57"/>
      <c r="G19" s="58"/>
      <c r="H19" s="59"/>
      <c r="I19" s="60"/>
      <c r="J19" s="61">
        <f t="shared" si="0"/>
        <v>0</v>
      </c>
    </row>
    <row r="20" spans="1:12" x14ac:dyDescent="0.3">
      <c r="A20" s="1"/>
      <c r="B20" s="1"/>
      <c r="C20" s="62"/>
      <c r="D20" s="62"/>
      <c r="E20" s="62"/>
      <c r="F20" s="62"/>
      <c r="G20" s="62"/>
      <c r="H20" s="62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63" t="s">
        <v>26</v>
      </c>
      <c r="J21" s="64">
        <f>SUM(J15:J20)</f>
        <v>17900</v>
      </c>
      <c r="K21" s="65"/>
      <c r="L21" s="66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67" t="s">
        <v>27</v>
      </c>
      <c r="J22" s="68">
        <f>J21*0.16</f>
        <v>2864</v>
      </c>
      <c r="L22" s="69"/>
    </row>
    <row r="23" spans="1:12" x14ac:dyDescent="0.3">
      <c r="A23" s="70" t="s">
        <v>28</v>
      </c>
      <c r="B23" s="71"/>
      <c r="C23" s="71"/>
      <c r="D23" s="71"/>
      <c r="E23" s="72"/>
      <c r="F23" s="1"/>
      <c r="G23" s="1"/>
      <c r="H23" s="1"/>
      <c r="I23" s="73" t="s">
        <v>24</v>
      </c>
      <c r="J23" s="74">
        <f>J21+J22</f>
        <v>20764</v>
      </c>
    </row>
    <row r="24" spans="1:12" x14ac:dyDescent="0.3">
      <c r="A24" s="75" t="s">
        <v>29</v>
      </c>
      <c r="B24" s="76"/>
      <c r="C24" s="76"/>
      <c r="D24" s="76"/>
      <c r="E24" s="77"/>
      <c r="F24" s="78"/>
      <c r="G24" s="78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1ED6B99-7B80-45FA-A105-A6194678201C}">
      <formula1>INDIRECT(++$B$11)</formula1>
    </dataValidation>
  </dataValidations>
  <hyperlinks>
    <hyperlink ref="A24" r:id="rId1" xr:uid="{2B46612A-A104-4CB5-9712-0CD149B6A928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2026-01-12T19:39:36Z</dcterms:created>
  <dcterms:modified xsi:type="dcterms:W3CDTF">2026-01-12T19:45:13Z</dcterms:modified>
</cp:coreProperties>
</file>