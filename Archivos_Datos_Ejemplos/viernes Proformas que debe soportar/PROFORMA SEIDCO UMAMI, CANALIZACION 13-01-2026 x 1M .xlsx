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CB81109E-29C3-754C-B3C8-E40966D8CBD8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FACTURA SEICO UMAMI 13Ene26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5" i="4" l="1"/>
  <c r="J16" i="4"/>
  <c r="J17" i="4"/>
  <c r="J19" i="4" l="1"/>
  <c r="J20" i="4" s="1"/>
  <c r="J21" i="4" l="1"/>
</calcChain>
</file>

<file path=xl/sharedStrings.xml><?xml version="1.0" encoding="utf-8"?>
<sst xmlns="http://schemas.openxmlformats.org/spreadsheetml/2006/main" count="109" uniqueCount="103">
  <si>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</si>
  <si>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</si>
  <si>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</si>
  <si>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</si>
  <si>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</si>
  <si>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</si>
  <si>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</si>
  <si>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</si>
  <si>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</si>
  <si>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</si>
  <si>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</si>
  <si>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</si>
  <si>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</si>
  <si>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</si>
  <si>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</si>
  <si>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</si>
  <si>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</si>
  <si>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</si>
  <si>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</si>
  <si>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</si>
  <si>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</si>
  <si>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</si>
  <si>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</si>
  <si>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</si>
  <si>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</si>
  <si>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</si>
  <si>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</si>
  <si>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</si>
  <si>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</si>
  <si>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</si>
  <si>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</si>
  <si>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</si>
  <si>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</si>
  <si>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</si>
  <si>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</si>
  <si>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</si>
  <si>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</si>
  <si>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</si>
  <si>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</si>
  <si>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</si>
  <si>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</si>
  <si>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</si>
  <si>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</si>
  <si>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</si>
  <si>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</si>
  <si>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</si>
  <si>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</si>
  <si>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</si>
  <si>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</si>
  <si>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</si>
  <si>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</si>
  <si>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</si>
  <si>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</si>
  <si>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</si>
  <si>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</si>
  <si>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</si>
  <si>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</si>
  <si>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</si>
  <si>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</si>
  <si>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</si>
  <si>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</si>
  <si>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</si>
  <si>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</si>
  <si>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</si>
  <si>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</si>
  <si>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</si>
  <si>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</si>
  <si>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</si>
  <si>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</si>
  <si>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</si>
  <si>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</si>
  <si>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</si>
  <si>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</si>
  <si>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</si>
  <si>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</si>
  <si>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</si>
  <si>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</si>
  <si>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</si>
  <si>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</si>
  <si>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</si>
  <si>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</si>
  <si>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</si>
  <si>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</si>
  <si>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</si>
  <si>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</si>
  <si>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</si>
  <si>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</si>
  <si>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</si>
  <si>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</si>
  <si>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</si>
  <si>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</si>
  <si>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</si>
  <si>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</si>
  <si>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</si>
  <si>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</si>
  <si>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</si>
  <si>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</si>
  <si>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</si>
  <si>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>UIE240416330</t>
  </si>
  <si>
    <t>UMAMI INGENIERIA ESPECIALIZADA SA DE CV</t>
  </si>
  <si>
    <t>CALLE LAGO ALBERTO 442 TORRE B PISO 3 OFICINA 303 COLONIA ANAHUAC 1 SECCION DELEGAGION MIGUEL HIDALGOCP 11320 CDMX</t>
  </si>
  <si>
    <t>SEIDCO</t>
  </si>
  <si>
    <t>TRABAJOS DE CANALIZACION.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</si>
</sst>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2" xfId="0" applyFont="1" applyFill="1" applyBorder="1"/>
    <xf numFmtId="0" fontId="1" fillId="5" borderId="5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top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85" zoomScaleNormal="85" workbookViewId="0"/>
  </sheetViews>
  <sheetFormatPr baseColWidth="10" defaultRowHeight="15" x14ac:dyDescent="0.2"/>
  <cols>
    <col min="1" max="1" width="21.5" customWidth="1"/>
    <col min="4" max="4" width="6.33203125" customWidth="1"/>
    <col min="7" max="7" width="17.6640625" customWidth="1"/>
    <col min="8" max="8" width="7.6640625" customWidth="1"/>
    <col min="9" max="9" width="8.6640625" customWidth="1"/>
    <col min="10" max="10" width="13.66406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2" t="s">
        <v>11</v>
      </c>
      <c r="B2" s="30"/>
      <c r="C2" s="31"/>
      <c r="D2" s="31"/>
      <c r="E2" s="32"/>
      <c r="F2" s="1"/>
      <c r="G2" s="12" t="s">
        <v>9</v>
      </c>
      <c r="H2" s="33" t="s">
        <v>10</v>
      </c>
      <c r="I2" s="33"/>
      <c r="J2" s="33"/>
    </row>
    <row r="3" spans="1:10" ht="21" x14ac:dyDescent="0.25">
      <c r="A3" s="3"/>
      <c r="B3" s="73" t="s">
        <v>101</v>
      </c>
      <c r="C3" s="73"/>
      <c r="D3" s="73"/>
      <c r="E3" s="73"/>
      <c r="F3" s="1"/>
      <c r="G3" s="1"/>
      <c r="H3" s="1"/>
      <c r="I3" s="1"/>
      <c r="J3" s="1"/>
    </row>
    <row r="4" spans="1:10" ht="16" x14ac:dyDescent="0.2">
      <c r="A4" s="74" t="s">
        <v>83</v>
      </c>
      <c r="B4" s="80" t="s">
        <v>99</v>
      </c>
      <c r="C4" s="81"/>
      <c r="D4" s="81"/>
      <c r="E4" s="81"/>
      <c r="F4" s="81"/>
      <c r="G4" s="81"/>
      <c r="H4" s="81"/>
      <c r="I4" s="81"/>
      <c r="J4" s="82"/>
    </row>
    <row r="5" spans="1:10" x14ac:dyDescent="0.2">
      <c r="A5" s="75" t="s">
        <v>76</v>
      </c>
      <c r="B5" s="49" t="s">
        <v>98</v>
      </c>
      <c r="C5" s="50"/>
      <c r="D5" s="50"/>
      <c r="E5" s="50"/>
      <c r="F5" s="50"/>
      <c r="G5" s="51"/>
      <c r="H5" s="39" t="s">
        <v>82</v>
      </c>
      <c r="I5" s="40"/>
      <c r="J5" s="41"/>
    </row>
    <row r="6" spans="1:10" x14ac:dyDescent="0.2">
      <c r="A6" s="76" t="s">
        <v>77</v>
      </c>
      <c r="B6" s="52" t="s">
        <v>100</v>
      </c>
      <c r="C6" s="53"/>
      <c r="D6" s="53"/>
      <c r="E6" s="53"/>
      <c r="F6" s="53"/>
      <c r="G6" s="54"/>
      <c r="H6" s="42"/>
      <c r="I6" s="43"/>
      <c r="J6" s="44"/>
    </row>
    <row r="7" spans="1:10" x14ac:dyDescent="0.2">
      <c r="A7" s="77"/>
      <c r="B7" s="55"/>
      <c r="C7" s="56"/>
      <c r="D7" s="56"/>
      <c r="E7" s="56"/>
      <c r="F7" s="56"/>
      <c r="G7" s="57"/>
      <c r="H7" s="42"/>
      <c r="I7" s="43"/>
      <c r="J7" s="44"/>
    </row>
    <row r="8" spans="1:10" x14ac:dyDescent="0.2">
      <c r="A8" s="78"/>
      <c r="B8" s="58"/>
      <c r="C8" s="59"/>
      <c r="D8" s="59"/>
      <c r="E8" s="59"/>
      <c r="F8" s="59"/>
      <c r="G8" s="60"/>
      <c r="H8" s="42"/>
      <c r="I8" s="43"/>
      <c r="J8" s="44"/>
    </row>
    <row r="9" spans="1:10" x14ac:dyDescent="0.2">
      <c r="A9" s="74" t="s">
        <v>78</v>
      </c>
      <c r="B9" s="61"/>
      <c r="C9" s="62"/>
      <c r="D9" s="62"/>
      <c r="E9" s="62"/>
      <c r="F9" s="62"/>
      <c r="G9" s="63"/>
      <c r="H9" s="45"/>
      <c r="I9" s="46"/>
      <c r="J9" s="47"/>
    </row>
    <row r="10" spans="1:10" x14ac:dyDescent="0.2">
      <c r="A10" s="79" t="s">
        <v>79</v>
      </c>
      <c r="B10" s="36" t="s">
        <v>41</v>
      </c>
      <c r="C10" s="37"/>
      <c r="D10" s="37"/>
      <c r="E10" s="37"/>
      <c r="F10" s="37"/>
      <c r="G10" s="38"/>
      <c r="H10" s="64" t="s">
        <v>75</v>
      </c>
      <c r="I10" s="65"/>
      <c r="J10" s="66"/>
    </row>
    <row r="11" spans="1:10" x14ac:dyDescent="0.2">
      <c r="A11" s="79" t="s">
        <v>80</v>
      </c>
      <c r="B11" s="36" t="s">
        <v>54</v>
      </c>
      <c r="C11" s="37"/>
      <c r="D11" s="37"/>
      <c r="E11" s="37"/>
      <c r="F11" s="37"/>
      <c r="G11" s="38"/>
      <c r="H11" s="67"/>
      <c r="I11" s="68"/>
      <c r="J11" s="69"/>
    </row>
    <row r="12" spans="1:10" x14ac:dyDescent="0.2">
      <c r="A12" s="79" t="s">
        <v>81</v>
      </c>
      <c r="B12" s="36" t="s">
        <v>56</v>
      </c>
      <c r="C12" s="37"/>
      <c r="D12" s="37"/>
      <c r="E12" s="37"/>
      <c r="F12" s="37"/>
      <c r="G12" s="38"/>
      <c r="H12" s="70"/>
      <c r="I12" s="71"/>
      <c r="J12" s="72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3" t="s">
        <v>2</v>
      </c>
      <c r="B14" s="13" t="s">
        <v>3</v>
      </c>
      <c r="C14" s="34" t="s">
        <v>4</v>
      </c>
      <c r="D14" s="35"/>
      <c r="E14" s="34" t="s">
        <v>5</v>
      </c>
      <c r="F14" s="48"/>
      <c r="G14" s="35"/>
      <c r="H14" s="34" t="s">
        <v>6</v>
      </c>
      <c r="I14" s="35"/>
      <c r="J14" s="13" t="s">
        <v>7</v>
      </c>
    </row>
    <row r="15" spans="1:10" ht="46.75" customHeight="1" x14ac:dyDescent="0.2">
      <c r="A15" s="20">
        <v>72121103</v>
      </c>
      <c r="B15" s="10">
        <v>1</v>
      </c>
      <c r="C15" s="25" t="s">
        <v>57</v>
      </c>
      <c r="D15" s="26"/>
      <c r="E15" s="27" t="s">
        <v>102</v>
      </c>
      <c r="F15" s="28"/>
      <c r="G15" s="29"/>
      <c r="H15" s="21">
        <v>862068.96550000005</v>
      </c>
      <c r="I15" s="22"/>
      <c r="J15" s="9">
        <f t="shared" ref="J15:J17" si="0">B15*H15</f>
        <v>862068.96550000005</v>
      </c>
    </row>
    <row r="16" spans="1:10" ht="15" customHeight="1" x14ac:dyDescent="0.2">
      <c r="A16" s="20"/>
      <c r="B16" s="10"/>
      <c r="C16" s="25"/>
      <c r="D16" s="26"/>
      <c r="E16" s="27"/>
      <c r="F16" s="28"/>
      <c r="G16" s="29"/>
      <c r="H16" s="21"/>
      <c r="I16" s="22"/>
      <c r="J16" s="9">
        <f t="shared" si="0"/>
        <v>0</v>
      </c>
    </row>
    <row r="17" spans="1:10" x14ac:dyDescent="0.2">
      <c r="A17" s="20"/>
      <c r="B17" s="10"/>
      <c r="C17" s="25"/>
      <c r="D17" s="26"/>
      <c r="E17" s="27"/>
      <c r="F17" s="28"/>
      <c r="G17" s="29"/>
      <c r="H17" s="21"/>
      <c r="I17" s="22"/>
      <c r="J17" s="9">
        <f t="shared" si="0"/>
        <v>0</v>
      </c>
    </row>
    <row r="18" spans="1:10" x14ac:dyDescent="0.2">
      <c r="A18" s="1"/>
      <c r="B18" s="1"/>
      <c r="C18" s="23"/>
      <c r="D18" s="23"/>
      <c r="E18" s="23"/>
      <c r="F18" s="23"/>
      <c r="G18" s="23"/>
      <c r="H18" s="24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4" t="s">
        <v>8</v>
      </c>
      <c r="J19" s="5">
        <f>SUM(J15:J18)</f>
        <v>862068.96550000005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6" t="s">
        <v>84</v>
      </c>
      <c r="J20" s="7">
        <f>J19*0.16</f>
        <v>137931.03448</v>
      </c>
    </row>
    <row r="21" spans="1:10" x14ac:dyDescent="0.2">
      <c r="A21" s="14" t="s">
        <v>96</v>
      </c>
      <c r="B21" s="15"/>
      <c r="C21" s="15"/>
      <c r="D21" s="15"/>
      <c r="E21" s="16"/>
      <c r="F21" s="1"/>
      <c r="G21" s="1"/>
      <c r="H21" s="1"/>
      <c r="I21" s="2" t="s">
        <v>7</v>
      </c>
      <c r="J21" s="8">
        <f>J19+J20</f>
        <v>999999.99998000008</v>
      </c>
    </row>
    <row r="22" spans="1:10" x14ac:dyDescent="0.2">
      <c r="A22" s="19" t="s">
        <v>97</v>
      </c>
      <c r="B22" s="17"/>
      <c r="C22" s="17"/>
      <c r="D22" s="17"/>
      <c r="E22" s="18"/>
      <c r="F22" s="11"/>
      <c r="G22" s="11"/>
      <c r="H22" s="1"/>
      <c r="I22" s="1"/>
      <c r="J22" s="1"/>
    </row>
  </sheetData>
  <mergeCells count="26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B3:E3"/>
    <mergeCell ref="H16:I16"/>
    <mergeCell ref="H17:I17"/>
    <mergeCell ref="C18:H18"/>
    <mergeCell ref="C15:D15"/>
    <mergeCell ref="H15:I15"/>
    <mergeCell ref="E15:G15"/>
    <mergeCell ref="C16:D16"/>
    <mergeCell ref="C17:D17"/>
    <mergeCell ref="E16:G16"/>
    <mergeCell ref="E17:G17"/>
  </mergeCells>
  <hyperlinks>
    <hyperlink ref="A22" r:id="rId1" xr:uid="{00000000-0004-0000-00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0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1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2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3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00000000-0002-0000-0000-000004000000}">
          <x14:formula1>
            <xm:f>Hoja1!$C$26:$C$41</xm:f>
          </x14:formula1>
          <xm:sqref>C16:D17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5000000}">
          <x14:formula1>
            <xm:f>Hoja1!$A$36:$A$43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00000000-0002-0000-0000-000006000000}">
          <x14:formula1>
            <xm:f>Hoja1!$C$26:$C$49</xm:f>
          </x14:formula1>
          <xm:sqref>C15:D15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85</v>
      </c>
      <c r="C37" t="s">
        <v>68</v>
      </c>
    </row>
    <row r="38" spans="1:3" x14ac:dyDescent="0.2">
      <c r="A38" t="s">
        <v>87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89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74</v>
      </c>
      <c r="C42" t="s">
        <v>73</v>
      </c>
    </row>
    <row r="43" spans="1:3" x14ac:dyDescent="0.2">
      <c r="A43" t="s">
        <v>88</v>
      </c>
      <c r="C43" t="s">
        <v>92</v>
      </c>
    </row>
    <row r="44" spans="1:3" x14ac:dyDescent="0.2">
      <c r="C44" t="s">
        <v>86</v>
      </c>
    </row>
    <row r="45" spans="1:3" x14ac:dyDescent="0.2">
      <c r="C45" t="s">
        <v>90</v>
      </c>
    </row>
    <row r="46" spans="1:3" x14ac:dyDescent="0.2">
      <c r="C46" t="s">
        <v>91</v>
      </c>
    </row>
    <row r="47" spans="1:3" x14ac:dyDescent="0.2">
      <c r="C47" t="s">
        <v>93</v>
      </c>
    </row>
    <row r="48" spans="1:3" x14ac:dyDescent="0.2">
      <c r="C48" t="s">
        <v>94</v>
      </c>
    </row>
    <row r="49" spans="3:3" x14ac:dyDescent="0.2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 SEICO UMAMI 13Ene26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dcterms:created xsi:type="dcterms:W3CDTF">2017-12-04T17:48:14Z</dcterms:created>
  <dcterms:modified xsi:type="dcterms:W3CDTF">2026-01-13T22:29:51Z</dcterms:modified>
</cp:coreProperties>
</file>