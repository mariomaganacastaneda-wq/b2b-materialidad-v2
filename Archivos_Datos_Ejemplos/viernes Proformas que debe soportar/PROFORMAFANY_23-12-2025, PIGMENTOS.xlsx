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99965CB6-405A-6B47-8C73-95318453705C}" xr6:coauthVersionLast="47" xr6:coauthVersionMax="47" xr10:uidLastSave="{00000000-0000-0000-0000-000000000000}"/>
  <bookViews>
    <workbookView xWindow="0" yWindow="500" windowWidth="24940" windowHeight="17500" xr2:uid="{00000000-000D-0000-FFFF-FFFF00000000}"/>
  </bookViews>
  <sheets>
    <sheet name="FACTURA X EPIC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7" i="4" l="1"/>
  <c r="H17" i="4"/>
  <c r="H16" i="4"/>
  <c r="J16" i="4" s="1"/>
  <c r="N16" i="4" s="1"/>
  <c r="O16" i="4" s="1"/>
  <c r="H15" i="4"/>
  <c r="J18" i="4"/>
  <c r="J19" i="4"/>
  <c r="J15" i="4"/>
  <c r="N15" i="4" s="1"/>
  <c r="O15" i="4" s="1"/>
  <c r="J17" i="4" l="1"/>
  <c r="N17" i="4" s="1"/>
  <c r="O17" i="4" s="1"/>
  <c r="J20" i="4"/>
  <c r="J21" i="4" l="1"/>
  <c r="J23" i="4" l="1"/>
  <c r="J24" i="4" s="1"/>
  <c r="J25" i="4" l="1"/>
</calcChain>
</file>

<file path=xl/sharedStrings.xml><?xml version="1.0" encoding="utf-8"?>
<sst xmlns="http://schemas.openxmlformats.org/spreadsheetml/2006/main" count="134" uniqueCount="123">
  <si>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</si>
  <si>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</si>
  <si>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</si>
  <si>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</si>
  <si>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</si>
  <si>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</si>
  <si>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</si>
  <si>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</si>
  <si>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</si>
  <si>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</si>
  <si>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</si>
  <si>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</si>
  <si>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</si>
  <si>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</si>
  <si>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</si>
  <si>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</si>
  <si>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</si>
  <si>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</si>
  <si>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</si>
  <si>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</si>
  <si>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</si>
  <si>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</si>
  <si>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</si>
  <si>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</si>
  <si>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</si>
  <si>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</si>
  <si>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</si>
  <si>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</si>
  <si>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</si>
  <si>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</si>
  <si>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</si>
  <si>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</si>
  <si>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</si>
  <si>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</si>
  <si>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</si>
  <si>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</si>
  <si>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</si>
  <si>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</si>
  <si>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</si>
  <si>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</si>
  <si>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</si>
  <si>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</si>
  <si>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</si>
  <si>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</si>
  <si>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</si>
  <si>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</si>
  <si>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</si>
  <si>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</si>
  <si>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</si>
  <si>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</si>
  <si>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</si>
  <si>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</si>
  <si>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</si>
  <si>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</si>
  <si>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</si>
  <si>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</si>
  <si>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</si>
  <si>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</si>
  <si>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</si>
  <si>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</si>
  <si>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</si>
  <si>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</si>
  <si>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</si>
  <si>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</si>
  <si>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</si>
  <si>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</si>
  <si>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</si>
  <si>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</si>
  <si>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</si>
  <si>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</si>
  <si>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</si>
  <si>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</si>
  <si>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</si>
  <si>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</si>
  <si>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</si>
  <si>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</si>
  <si>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</si>
  <si>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</si>
  <si>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</si>
  <si>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</si>
  <si>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</si>
  <si>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</si>
  <si>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</si>
  <si>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</si>
  <si>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</si>
  <si>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</si>
  <si>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</si>
  <si>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</si>
  <si>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</si>
  <si>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</si>
  <si>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</si>
  <si>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</si>
  <si>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</si>
  <si>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</si>
  <si>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</si>
  <si>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</si>
  <si>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</si>
  <si>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</si>
  <si>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</si>
  <si>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</si>
  <si>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</si>
  <si>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</si>
  <si>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</si>
  <si>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</si>
  <si>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</si>
  <si>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</si>
  <si>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</si>
  <si>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</si>
  <si>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</si>
  <si>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</si>
  <si>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</si>
  <si>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CROMAPRINT MEXICANA, S.A. DE C.V.</t>
  </si>
  <si>
    <t>CME131211L45</t>
  </si>
  <si>
    <t>CERRADA DE COPAN,  No. 2  COL. SAN MIGUEL XOCHIMANGA, ATIZAPAN DE
ZARAGOZAC.P.52927</t>
  </si>
  <si>
    <t>220</t>
  </si>
  <si>
    <t>150</t>
  </si>
  <si>
    <t>125</t>
  </si>
  <si>
    <t>TC</t>
  </si>
  <si>
    <t>PIGMENTO AMARILLO PY 13 ROJIZO       $12.00 USD P.U.          TC $18.15</t>
  </si>
  <si>
    <t>PIGMENTO ROJO LACA  AMARILLENTO. $ 11.10 USD  P.U.            TC $18.15ç</t>
  </si>
  <si>
    <t>PIGMENTO AZUL AZUL FTALOCIANINA 15:00.  $12.65 USD P.U  TC $18.15</t>
  </si>
  <si>
    <t>NOTA VIC SE VA A PAGAR EN ESTE MES O ES PPD</t>
  </si>
  <si>
    <t>EPIC EMC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</si>
</sst>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[$-80A]d&quot; de &quot;mmmm&quot; de &quot;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1" fontId="6" fillId="0" borderId="1" xfId="2" applyNumberFormat="1" applyFont="1" applyBorder="1" applyAlignment="1">
      <alignment horizontal="center"/>
    </xf>
    <xf numFmtId="49" fontId="0" fillId="0" borderId="1" xfId="2" applyNumberFormat="1" applyFont="1" applyBorder="1" applyAlignment="1">
      <alignment horizontal="center" vertical="center"/>
    </xf>
    <xf numFmtId="49" fontId="0" fillId="0" borderId="1" xfId="2" applyNumberFormat="1" applyFont="1" applyBorder="1" applyAlignment="1">
      <alignment horizontal="center"/>
    </xf>
    <xf numFmtId="164" fontId="0" fillId="2" borderId="4" xfId="2" applyFont="1" applyFill="1" applyBorder="1" applyAlignment="1">
      <alignment vertical="center" wrapText="1"/>
    </xf>
    <xf numFmtId="43" fontId="0" fillId="0" borderId="0" xfId="0" applyNumberFormat="1"/>
    <xf numFmtId="43" fontId="0" fillId="0" borderId="0" xfId="3" applyFont="1"/>
    <xf numFmtId="164" fontId="0" fillId="2" borderId="2" xfId="2" applyFont="1" applyFill="1" applyBorder="1" applyAlignment="1">
      <alignment horizontal="center" vertical="center" wrapText="1"/>
    </xf>
    <xf numFmtId="164" fontId="0" fillId="2" borderId="4" xfId="2" applyFont="1" applyFill="1" applyBorder="1" applyAlignment="1">
      <alignment horizontal="center" vertical="center" wrapText="1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5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/>
    </xf>
  </cellXfs>
  <cellStyles count="4">
    <cellStyle name="Hipervínculo" xfId="1" builtinId="8"/>
    <cellStyle name="Millares" xfId="3" builtinId="3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zoomScale="125" zoomScaleNormal="85" workbookViewId="0">
      <selection activeCell="B3" sqref="B3:C3"/>
    </sheetView>
  </sheetViews>
  <sheetFormatPr baseColWidth="10" defaultRowHeight="15" x14ac:dyDescent="0.2"/>
  <cols>
    <col min="1" max="1" width="21.5" customWidth="1"/>
    <col min="4" max="4" width="6.33203125" customWidth="1"/>
    <col min="7" max="7" width="42" customWidth="1"/>
    <col min="8" max="8" width="7.6640625" customWidth="1"/>
    <col min="9" max="9" width="8.6640625" customWidth="1"/>
    <col min="10" max="10" width="14.6640625" customWidth="1"/>
    <col min="11" max="11" width="4.5" customWidth="1"/>
    <col min="12" max="12" width="11.1640625" bestFit="1" customWidth="1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5" x14ac:dyDescent="0.2">
      <c r="A2" s="13" t="s">
        <v>9</v>
      </c>
      <c r="B2" s="44"/>
      <c r="C2" s="45"/>
      <c r="D2" s="45"/>
      <c r="E2" s="46"/>
      <c r="F2" s="1"/>
      <c r="G2" s="13" t="s">
        <v>7</v>
      </c>
      <c r="H2" s="47" t="s">
        <v>8</v>
      </c>
      <c r="I2" s="47"/>
      <c r="J2" s="47"/>
    </row>
    <row r="3" spans="1:15" ht="24" x14ac:dyDescent="0.3">
      <c r="A3" s="3"/>
      <c r="B3" s="91" t="s">
        <v>122</v>
      </c>
      <c r="C3" s="91"/>
      <c r="D3" s="1"/>
      <c r="E3" s="1"/>
      <c r="F3" s="1"/>
      <c r="G3" s="1"/>
      <c r="H3" s="1"/>
      <c r="I3" s="1"/>
      <c r="J3" s="1"/>
    </row>
    <row r="4" spans="1:15" x14ac:dyDescent="0.2">
      <c r="A4" s="14" t="s">
        <v>73</v>
      </c>
      <c r="B4" s="44" t="s">
        <v>111</v>
      </c>
      <c r="C4" s="45"/>
      <c r="D4" s="45"/>
      <c r="E4" s="45"/>
      <c r="F4" s="45"/>
      <c r="G4" s="45"/>
      <c r="H4" s="45"/>
      <c r="I4" s="45"/>
      <c r="J4" s="46"/>
    </row>
    <row r="5" spans="1:15" x14ac:dyDescent="0.2">
      <c r="A5" s="15" t="s">
        <v>67</v>
      </c>
      <c r="B5" s="70" t="s">
        <v>112</v>
      </c>
      <c r="C5" s="71"/>
      <c r="D5" s="71"/>
      <c r="E5" s="71"/>
      <c r="F5" s="71"/>
      <c r="G5" s="72"/>
      <c r="H5" s="56" t="s">
        <v>72</v>
      </c>
      <c r="I5" s="57"/>
      <c r="J5" s="58"/>
    </row>
    <row r="6" spans="1:15" x14ac:dyDescent="0.2">
      <c r="A6" s="67" t="s">
        <v>89</v>
      </c>
      <c r="B6" s="73" t="s">
        <v>113</v>
      </c>
      <c r="C6" s="74"/>
      <c r="D6" s="74"/>
      <c r="E6" s="74"/>
      <c r="F6" s="74"/>
      <c r="G6" s="75"/>
      <c r="H6" s="59"/>
      <c r="I6" s="60"/>
      <c r="J6" s="61"/>
    </row>
    <row r="7" spans="1:15" x14ac:dyDescent="0.2">
      <c r="A7" s="68"/>
      <c r="B7" s="76"/>
      <c r="C7" s="77"/>
      <c r="D7" s="77"/>
      <c r="E7" s="77"/>
      <c r="F7" s="77"/>
      <c r="G7" s="78"/>
      <c r="H7" s="59"/>
      <c r="I7" s="60"/>
      <c r="J7" s="61"/>
    </row>
    <row r="8" spans="1:15" x14ac:dyDescent="0.2">
      <c r="A8" s="69"/>
      <c r="B8" s="79"/>
      <c r="C8" s="80"/>
      <c r="D8" s="80"/>
      <c r="E8" s="80"/>
      <c r="F8" s="80"/>
      <c r="G8" s="81"/>
      <c r="H8" s="59"/>
      <c r="I8" s="60"/>
      <c r="J8" s="61"/>
    </row>
    <row r="9" spans="1:15" x14ac:dyDescent="0.2">
      <c r="A9" s="14" t="s">
        <v>68</v>
      </c>
      <c r="B9" s="50" t="s">
        <v>14</v>
      </c>
      <c r="C9" s="51"/>
      <c r="D9" s="51"/>
      <c r="E9" s="51"/>
      <c r="F9" s="51"/>
      <c r="G9" s="52"/>
      <c r="H9" s="62"/>
      <c r="I9" s="63"/>
      <c r="J9" s="64"/>
    </row>
    <row r="10" spans="1:15" x14ac:dyDescent="0.2">
      <c r="A10" s="16" t="s">
        <v>69</v>
      </c>
      <c r="B10" s="50" t="s">
        <v>39</v>
      </c>
      <c r="C10" s="51"/>
      <c r="D10" s="51"/>
      <c r="E10" s="51"/>
      <c r="F10" s="51"/>
      <c r="G10" s="52"/>
      <c r="H10" s="82" t="s">
        <v>66</v>
      </c>
      <c r="I10" s="83"/>
      <c r="J10" s="84"/>
    </row>
    <row r="11" spans="1:15" x14ac:dyDescent="0.2">
      <c r="A11" s="16" t="s">
        <v>70</v>
      </c>
      <c r="B11" s="50" t="s">
        <v>109</v>
      </c>
      <c r="C11" s="51"/>
      <c r="D11" s="51"/>
      <c r="E11" s="51"/>
      <c r="F11" s="51"/>
      <c r="G11" s="52"/>
      <c r="H11" s="85"/>
      <c r="I11" s="86"/>
      <c r="J11" s="87"/>
    </row>
    <row r="12" spans="1:15" x14ac:dyDescent="0.2">
      <c r="A12" s="16" t="s">
        <v>71</v>
      </c>
      <c r="B12" s="53" t="s">
        <v>104</v>
      </c>
      <c r="C12" s="54"/>
      <c r="D12" s="54"/>
      <c r="E12" s="54"/>
      <c r="F12" s="54"/>
      <c r="G12" s="55"/>
      <c r="H12" s="88"/>
      <c r="I12" s="89"/>
      <c r="J12" s="90"/>
    </row>
    <row r="13" spans="1:15" ht="25" customHeight="1" x14ac:dyDescent="0.2">
      <c r="A13" s="1"/>
      <c r="B13" s="1"/>
      <c r="C13" s="1"/>
      <c r="D13" s="1"/>
      <c r="E13" s="66" t="s">
        <v>121</v>
      </c>
      <c r="F13" s="66"/>
      <c r="G13" s="66"/>
      <c r="H13" s="1"/>
      <c r="I13" s="1"/>
      <c r="J13" s="1"/>
    </row>
    <row r="14" spans="1:15" x14ac:dyDescent="0.2">
      <c r="A14" s="17" t="s">
        <v>0</v>
      </c>
      <c r="B14" s="17" t="s">
        <v>1</v>
      </c>
      <c r="C14" s="48" t="s">
        <v>2</v>
      </c>
      <c r="D14" s="49"/>
      <c r="E14" s="48" t="s">
        <v>3</v>
      </c>
      <c r="F14" s="65"/>
      <c r="G14" s="49"/>
      <c r="H14" s="48" t="s">
        <v>4</v>
      </c>
      <c r="I14" s="49"/>
      <c r="J14" s="17" t="s">
        <v>5</v>
      </c>
      <c r="M14" t="s">
        <v>117</v>
      </c>
    </row>
    <row r="15" spans="1:15" ht="17.5" customHeight="1" x14ac:dyDescent="0.2">
      <c r="A15" s="24">
        <v>12171600</v>
      </c>
      <c r="B15" s="25" t="s">
        <v>114</v>
      </c>
      <c r="C15" s="34" t="s">
        <v>58</v>
      </c>
      <c r="D15" s="35"/>
      <c r="E15" s="36" t="s">
        <v>118</v>
      </c>
      <c r="F15" s="37"/>
      <c r="G15" s="38"/>
      <c r="H15" s="30">
        <f>12*18.15</f>
        <v>217.79999999999998</v>
      </c>
      <c r="I15" s="31"/>
      <c r="J15" s="27">
        <f t="shared" ref="J15:J21" si="0">B15*H15</f>
        <v>47915.999999999993</v>
      </c>
      <c r="K15" s="28"/>
      <c r="L15" s="27">
        <v>2640</v>
      </c>
      <c r="M15">
        <v>18.149999999999999</v>
      </c>
      <c r="N15">
        <f>J15/H15</f>
        <v>219.99999999999997</v>
      </c>
      <c r="O15">
        <f>N15/M15</f>
        <v>12.121212121212121</v>
      </c>
    </row>
    <row r="16" spans="1:15" ht="15" customHeight="1" x14ac:dyDescent="0.2">
      <c r="A16" s="24">
        <v>12171605</v>
      </c>
      <c r="B16" s="26" t="s">
        <v>115</v>
      </c>
      <c r="C16" s="34" t="s">
        <v>58</v>
      </c>
      <c r="D16" s="35"/>
      <c r="E16" s="36" t="s">
        <v>119</v>
      </c>
      <c r="F16" s="37"/>
      <c r="G16" s="38"/>
      <c r="H16" s="30">
        <f>11.1*18.15</f>
        <v>201.46499999999997</v>
      </c>
      <c r="I16" s="31"/>
      <c r="J16" s="27">
        <f t="shared" si="0"/>
        <v>30219.749999999996</v>
      </c>
      <c r="K16" s="28"/>
      <c r="L16" s="27">
        <v>1665</v>
      </c>
      <c r="M16">
        <v>19.149999999999999</v>
      </c>
      <c r="N16">
        <f t="shared" ref="N16:N17" si="1">J16/H16</f>
        <v>150</v>
      </c>
      <c r="O16">
        <f t="shared" ref="O16:O17" si="2">N16/M16</f>
        <v>7.8328981723237607</v>
      </c>
    </row>
    <row r="17" spans="1:15" x14ac:dyDescent="0.2">
      <c r="A17" s="24">
        <v>12171600</v>
      </c>
      <c r="B17" s="26" t="s">
        <v>116</v>
      </c>
      <c r="C17" s="34" t="s">
        <v>58</v>
      </c>
      <c r="D17" s="35"/>
      <c r="E17" s="36" t="s">
        <v>120</v>
      </c>
      <c r="F17" s="37"/>
      <c r="G17" s="38"/>
      <c r="H17" s="30">
        <f>12.65*18.15</f>
        <v>229.5975</v>
      </c>
      <c r="I17" s="31"/>
      <c r="J17" s="27">
        <f t="shared" si="0"/>
        <v>28699.6875</v>
      </c>
      <c r="L17" s="27">
        <v>1581.25</v>
      </c>
      <c r="M17">
        <v>20.149999999999999</v>
      </c>
      <c r="N17">
        <f t="shared" si="1"/>
        <v>125</v>
      </c>
      <c r="O17">
        <f t="shared" si="2"/>
        <v>6.2034739454094296</v>
      </c>
    </row>
    <row r="18" spans="1:15" x14ac:dyDescent="0.2">
      <c r="A18" s="4"/>
      <c r="B18" s="11"/>
      <c r="C18" s="34"/>
      <c r="D18" s="35"/>
      <c r="E18" s="41"/>
      <c r="F18" s="42"/>
      <c r="G18" s="43"/>
      <c r="H18" s="32"/>
      <c r="I18" s="33"/>
      <c r="J18" s="10">
        <f t="shared" si="0"/>
        <v>0</v>
      </c>
      <c r="L18" s="10"/>
    </row>
    <row r="19" spans="1:15" x14ac:dyDescent="0.2">
      <c r="A19" s="4"/>
      <c r="B19" s="11"/>
      <c r="C19" s="34"/>
      <c r="D19" s="35"/>
      <c r="E19" s="41"/>
      <c r="F19" s="42"/>
      <c r="G19" s="43"/>
      <c r="H19" s="32"/>
      <c r="I19" s="33"/>
      <c r="J19" s="10">
        <f t="shared" si="0"/>
        <v>0</v>
      </c>
      <c r="L19" s="10"/>
    </row>
    <row r="20" spans="1:15" x14ac:dyDescent="0.2">
      <c r="A20" s="4"/>
      <c r="B20" s="11"/>
      <c r="C20" s="34"/>
      <c r="D20" s="35"/>
      <c r="E20" s="41"/>
      <c r="F20" s="42"/>
      <c r="G20" s="43"/>
      <c r="H20" s="32"/>
      <c r="I20" s="33"/>
      <c r="J20" s="10">
        <f t="shared" si="0"/>
        <v>0</v>
      </c>
      <c r="L20" s="10"/>
    </row>
    <row r="21" spans="1:15" x14ac:dyDescent="0.2">
      <c r="A21" s="4"/>
      <c r="B21" s="11"/>
      <c r="C21" s="34"/>
      <c r="D21" s="35"/>
      <c r="E21" s="41"/>
      <c r="F21" s="42"/>
      <c r="G21" s="43"/>
      <c r="H21" s="32"/>
      <c r="I21" s="33"/>
      <c r="J21" s="10">
        <f t="shared" si="0"/>
        <v>0</v>
      </c>
      <c r="L21" s="10"/>
    </row>
    <row r="22" spans="1:15" x14ac:dyDescent="0.2">
      <c r="A22" s="1"/>
      <c r="B22" s="1"/>
      <c r="C22" s="39"/>
      <c r="D22" s="39"/>
      <c r="E22" s="39"/>
      <c r="F22" s="39"/>
      <c r="G22" s="39"/>
      <c r="H22" s="40"/>
      <c r="I22" s="1"/>
      <c r="J22" s="1"/>
      <c r="L22" s="1"/>
    </row>
    <row r="23" spans="1:15" x14ac:dyDescent="0.2">
      <c r="A23" s="1"/>
      <c r="B23" s="1"/>
      <c r="C23" s="1"/>
      <c r="D23" s="1"/>
      <c r="E23" s="1"/>
      <c r="F23" s="1"/>
      <c r="G23" s="1"/>
      <c r="H23" s="1"/>
      <c r="I23" s="5" t="s">
        <v>6</v>
      </c>
      <c r="J23" s="6">
        <f>SUM(J15:J22)</f>
        <v>106835.43749999999</v>
      </c>
      <c r="L23" s="6">
        <v>5886.25</v>
      </c>
    </row>
    <row r="24" spans="1:15" x14ac:dyDescent="0.2">
      <c r="A24" s="1"/>
      <c r="B24" s="1"/>
      <c r="C24" s="1"/>
      <c r="D24" s="1"/>
      <c r="E24" s="1"/>
      <c r="F24" s="1"/>
      <c r="G24" s="1"/>
      <c r="H24" s="1"/>
      <c r="I24" s="7" t="s">
        <v>74</v>
      </c>
      <c r="J24" s="8">
        <f>J23*0.16</f>
        <v>17093.669999999998</v>
      </c>
      <c r="L24" s="8">
        <v>941.80000000000007</v>
      </c>
    </row>
    <row r="25" spans="1:15" x14ac:dyDescent="0.2">
      <c r="A25" s="18" t="s">
        <v>85</v>
      </c>
      <c r="B25" s="19"/>
      <c r="C25" s="19"/>
      <c r="D25" s="19"/>
      <c r="E25" s="20"/>
      <c r="F25" s="1"/>
      <c r="G25" s="1"/>
      <c r="H25" s="1"/>
      <c r="I25" s="2" t="s">
        <v>5</v>
      </c>
      <c r="J25" s="9">
        <f>J23+J24</f>
        <v>123929.10749999998</v>
      </c>
      <c r="L25" s="9">
        <v>6828.05</v>
      </c>
    </row>
    <row r="26" spans="1:15" x14ac:dyDescent="0.2">
      <c r="A26" s="23" t="s">
        <v>86</v>
      </c>
      <c r="B26" s="21"/>
      <c r="C26" s="21"/>
      <c r="D26" s="21"/>
      <c r="E26" s="22"/>
      <c r="F26" s="12"/>
      <c r="G26" s="12"/>
      <c r="H26" s="1"/>
      <c r="I26" s="1"/>
      <c r="J26" s="1"/>
      <c r="L26">
        <v>18.149999999999999</v>
      </c>
    </row>
    <row r="27" spans="1:15" x14ac:dyDescent="0.2">
      <c r="L27" s="29">
        <f>L25*L26</f>
        <v>123929.1075</v>
      </c>
    </row>
  </sheetData>
  <mergeCells count="39">
    <mergeCell ref="A6:A8"/>
    <mergeCell ref="B5:G5"/>
    <mergeCell ref="B6:G8"/>
    <mergeCell ref="B9:G9"/>
    <mergeCell ref="H10:J12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E13:G13"/>
    <mergeCell ref="B3:C3"/>
    <mergeCell ref="C22:H22"/>
    <mergeCell ref="C16:D16"/>
    <mergeCell ref="C17:D17"/>
    <mergeCell ref="C18:D18"/>
    <mergeCell ref="E17:G17"/>
    <mergeCell ref="E18:G18"/>
    <mergeCell ref="C19:D19"/>
    <mergeCell ref="E19:G19"/>
    <mergeCell ref="H19:I19"/>
    <mergeCell ref="H17:I17"/>
    <mergeCell ref="E21:G21"/>
    <mergeCell ref="C20:D20"/>
    <mergeCell ref="E20:G20"/>
    <mergeCell ref="H18:I18"/>
    <mergeCell ref="C21:D21"/>
    <mergeCell ref="H21:I21"/>
    <mergeCell ref="H15:I15"/>
    <mergeCell ref="H16:I16"/>
    <mergeCell ref="H20:I20"/>
    <mergeCell ref="C15:D15"/>
    <mergeCell ref="E15:G15"/>
    <mergeCell ref="E16:G16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6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3"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C15:D21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5" x14ac:dyDescent="0.2"/>
  <cols>
    <col min="1" max="1" width="39.5" customWidth="1"/>
    <col min="3" max="3" width="56.1640625" bestFit="1" customWidth="1"/>
    <col min="5" max="5" width="33.6640625" bestFit="1" customWidth="1"/>
    <col min="7" max="7" width="87.83203125" bestFit="1" customWidth="1"/>
  </cols>
  <sheetData>
    <row r="1" spans="1:7" x14ac:dyDescent="0.2">
      <c r="A1" t="s">
        <v>13</v>
      </c>
      <c r="C1" t="s">
        <v>48</v>
      </c>
      <c r="E1" t="s">
        <v>2</v>
      </c>
      <c r="G1" t="s">
        <v>37</v>
      </c>
    </row>
    <row r="2" spans="1:7" x14ac:dyDescent="0.2">
      <c r="A2" t="s">
        <v>12</v>
      </c>
      <c r="C2" t="s">
        <v>38</v>
      </c>
      <c r="E2" t="s">
        <v>49</v>
      </c>
      <c r="G2" t="s">
        <v>14</v>
      </c>
    </row>
    <row r="3" spans="1:7" x14ac:dyDescent="0.2">
      <c r="A3" t="s">
        <v>75</v>
      </c>
      <c r="C3" t="s">
        <v>39</v>
      </c>
      <c r="E3" t="s">
        <v>50</v>
      </c>
      <c r="G3" t="s">
        <v>15</v>
      </c>
    </row>
    <row r="4" spans="1:7" x14ac:dyDescent="0.2">
      <c r="C4" t="s">
        <v>40</v>
      </c>
      <c r="E4" t="s">
        <v>58</v>
      </c>
      <c r="G4" t="s">
        <v>16</v>
      </c>
    </row>
    <row r="5" spans="1:7" x14ac:dyDescent="0.2">
      <c r="A5" t="s">
        <v>10</v>
      </c>
      <c r="C5" t="s">
        <v>41</v>
      </c>
      <c r="E5" t="s">
        <v>51</v>
      </c>
      <c r="G5" t="s">
        <v>18</v>
      </c>
    </row>
    <row r="6" spans="1:7" x14ac:dyDescent="0.2">
      <c r="A6" t="s">
        <v>78</v>
      </c>
      <c r="C6" t="s">
        <v>42</v>
      </c>
      <c r="E6" t="s">
        <v>52</v>
      </c>
      <c r="G6" t="s">
        <v>17</v>
      </c>
    </row>
    <row r="7" spans="1:7" x14ac:dyDescent="0.2">
      <c r="A7" t="s">
        <v>11</v>
      </c>
      <c r="C7" t="s">
        <v>43</v>
      </c>
      <c r="E7" t="s">
        <v>53</v>
      </c>
      <c r="G7" t="s">
        <v>19</v>
      </c>
    </row>
    <row r="8" spans="1:7" x14ac:dyDescent="0.2">
      <c r="A8" t="s">
        <v>93</v>
      </c>
      <c r="C8" t="s">
        <v>44</v>
      </c>
      <c r="E8" t="s">
        <v>54</v>
      </c>
      <c r="G8" t="s">
        <v>20</v>
      </c>
    </row>
    <row r="9" spans="1:7" x14ac:dyDescent="0.2">
      <c r="A9" t="s">
        <v>77</v>
      </c>
      <c r="C9" t="s">
        <v>45</v>
      </c>
      <c r="E9" t="s">
        <v>55</v>
      </c>
      <c r="G9" t="s">
        <v>21</v>
      </c>
    </row>
    <row r="10" spans="1:7" x14ac:dyDescent="0.2">
      <c r="A10" t="s">
        <v>87</v>
      </c>
      <c r="C10" t="s">
        <v>46</v>
      </c>
      <c r="E10" t="s">
        <v>56</v>
      </c>
      <c r="G10" t="s">
        <v>22</v>
      </c>
    </row>
    <row r="11" spans="1:7" x14ac:dyDescent="0.2">
      <c r="A11" t="s">
        <v>88</v>
      </c>
      <c r="C11" t="s">
        <v>47</v>
      </c>
      <c r="E11" t="s">
        <v>57</v>
      </c>
      <c r="G11" t="s">
        <v>23</v>
      </c>
    </row>
    <row r="12" spans="1:7" x14ac:dyDescent="0.2">
      <c r="A12" t="s">
        <v>90</v>
      </c>
      <c r="E12" t="s">
        <v>59</v>
      </c>
      <c r="G12" t="s">
        <v>24</v>
      </c>
    </row>
    <row r="13" spans="1:7" x14ac:dyDescent="0.2">
      <c r="A13" t="s">
        <v>91</v>
      </c>
      <c r="E13" t="s">
        <v>60</v>
      </c>
      <c r="G13" t="s">
        <v>25</v>
      </c>
    </row>
    <row r="14" spans="1:7" x14ac:dyDescent="0.2">
      <c r="A14" t="s">
        <v>92</v>
      </c>
      <c r="E14" t="s">
        <v>61</v>
      </c>
      <c r="G14" t="s">
        <v>26</v>
      </c>
    </row>
    <row r="15" spans="1:7" x14ac:dyDescent="0.2">
      <c r="A15" t="s">
        <v>97</v>
      </c>
      <c r="E15" t="s">
        <v>62</v>
      </c>
      <c r="G15" t="s">
        <v>27</v>
      </c>
    </row>
    <row r="16" spans="1:7" x14ac:dyDescent="0.2">
      <c r="A16" t="s">
        <v>98</v>
      </c>
      <c r="E16" t="s">
        <v>63</v>
      </c>
      <c r="G16" t="s">
        <v>28</v>
      </c>
    </row>
    <row r="17" spans="1:7" x14ac:dyDescent="0.2">
      <c r="A17" t="s">
        <v>99</v>
      </c>
      <c r="E17" t="s">
        <v>64</v>
      </c>
      <c r="G17" t="s">
        <v>29</v>
      </c>
    </row>
    <row r="18" spans="1:7" x14ac:dyDescent="0.2">
      <c r="A18" t="s">
        <v>100</v>
      </c>
      <c r="E18" t="s">
        <v>65</v>
      </c>
      <c r="G18" t="s">
        <v>30</v>
      </c>
    </row>
    <row r="19" spans="1:7" x14ac:dyDescent="0.2">
      <c r="A19" t="s">
        <v>101</v>
      </c>
      <c r="E19" t="s">
        <v>81</v>
      </c>
      <c r="G19" t="s">
        <v>31</v>
      </c>
    </row>
    <row r="20" spans="1:7" x14ac:dyDescent="0.2">
      <c r="A20" t="s">
        <v>102</v>
      </c>
      <c r="E20" t="s">
        <v>76</v>
      </c>
      <c r="G20" t="s">
        <v>32</v>
      </c>
    </row>
    <row r="21" spans="1:7" x14ac:dyDescent="0.2">
      <c r="A21" t="s">
        <v>103</v>
      </c>
      <c r="E21" t="s">
        <v>79</v>
      </c>
      <c r="G21" t="s">
        <v>33</v>
      </c>
    </row>
    <row r="22" spans="1:7" x14ac:dyDescent="0.2">
      <c r="A22" t="s">
        <v>110</v>
      </c>
      <c r="E22" t="s">
        <v>80</v>
      </c>
      <c r="G22" t="s">
        <v>34</v>
      </c>
    </row>
    <row r="23" spans="1:7" x14ac:dyDescent="0.2">
      <c r="E23" t="s">
        <v>82</v>
      </c>
      <c r="G23" t="s">
        <v>35</v>
      </c>
    </row>
    <row r="24" spans="1:7" x14ac:dyDescent="0.2">
      <c r="E24" t="s">
        <v>83</v>
      </c>
      <c r="G24" t="s">
        <v>36</v>
      </c>
    </row>
    <row r="25" spans="1:7" x14ac:dyDescent="0.2">
      <c r="E25" t="s">
        <v>84</v>
      </c>
    </row>
    <row r="26" spans="1:7" x14ac:dyDescent="0.2">
      <c r="E26" t="s">
        <v>94</v>
      </c>
    </row>
    <row r="27" spans="1:7" x14ac:dyDescent="0.2">
      <c r="E27" t="s">
        <v>95</v>
      </c>
    </row>
    <row r="28" spans="1:7" x14ac:dyDescent="0.2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5" x14ac:dyDescent="0.2"/>
  <cols>
    <col min="1" max="1" width="15.5" customWidth="1"/>
    <col min="2" max="2" width="14.5" customWidth="1"/>
    <col min="3" max="3" width="21.5" customWidth="1"/>
    <col min="4" max="4" width="18.83203125" customWidth="1"/>
  </cols>
  <sheetData>
    <row r="1" spans="1:4" x14ac:dyDescent="0.2">
      <c r="A1" t="s">
        <v>106</v>
      </c>
      <c r="B1" t="s">
        <v>107</v>
      </c>
      <c r="C1" t="s">
        <v>109</v>
      </c>
      <c r="D1" t="s">
        <v>108</v>
      </c>
    </row>
    <row r="2" spans="1:4" x14ac:dyDescent="0.2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 X EPIC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cp:lastPrinted>2024-08-13T23:04:16Z</cp:lastPrinted>
  <dcterms:created xsi:type="dcterms:W3CDTF">2017-12-04T17:48:14Z</dcterms:created>
  <dcterms:modified xsi:type="dcterms:W3CDTF">2025-12-29T22:41:25Z</dcterms:modified>
</cp:coreProperties>
</file>