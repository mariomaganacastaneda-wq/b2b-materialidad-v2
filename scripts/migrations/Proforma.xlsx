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80B1D5E4-C7C9-124F-8C39-5732D19408A8}" xr6:coauthVersionLast="47" xr6:coauthVersionMax="47" xr10:uidLastSave="{00000000-0000-0000-0000-000000000000}"/>
  <bookViews>
    <workbookView xWindow="0" yWindow="500" windowWidth="28300" windowHeight="15860" xr2:uid="{EFF9E8C9-F094-4968-A4EE-796E6F48DAE6}"/>
  </bookViews>
  <sheets>
    <sheet name="FACTURA MAGAÑA CESMA JURIDICOS" sheetId="2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" l="1"/>
  <c r="J22" i="2"/>
  <c r="J21" i="2"/>
  <c r="J20" i="2"/>
  <c r="J19" i="2"/>
  <c r="J25" i="2" l="1"/>
  <c r="J26" i="2" s="1"/>
  <c r="J27" i="2" s="1"/>
</calcChain>
</file>

<file path=xl/sharedStrings.xml><?xml version="1.0" encoding="utf-8"?>
<sst xmlns="http://schemas.openxmlformats.org/spreadsheetml/2006/main" count="44" uniqueCount="40">
  <si>
    <t>Empresa que emite:</t>
  </si>
  <si>
    <t>TIPO DE COMPROBANTE</t>
  </si>
  <si>
    <t>INGRESO</t>
  </si>
  <si>
    <t>MAGAÑA Y VIEIRA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</si>
  <si>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</si>
  <si>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</si>
  <si>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</si>
  <si>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</si>
  <si>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</si>
  <si>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</si>
  <si>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</si>
  <si>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</si>
  <si>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</si>
  <si>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</si>
  <si>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</si>
  <si>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</si>
  <si>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</si>
  <si>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</si>
  <si>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</si>
  <si>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</si>
  <si>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</si>
  <si>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</si>
  <si>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</si>
  <si>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</si>
  <si>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</si>
  <si>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</si>
  <si>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</si>
  <si>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</si>
  <si>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</si>
  <si>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</si>
  <si>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</si>
  <si>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CARGO QUINCENAL 3 DE 24 POR SERVICIOS LEGALES Y JURIDICOS CORPORATIVOS, SEGUN CONTRATO</t>
  </si>
  <si>
    <t>Requiere Prefactura</t>
  </si>
  <si>
    <t>Requier Contrato</t>
  </si>
  <si>
    <t>Conforme a las políticas</t>
  </si>
  <si>
    <t>Codigo Postal</t>
  </si>
  <si>
    <t>No</t>
  </si>
  <si>
    <t>SI</t>
  </si>
  <si>
    <t>Tiene Cotización</t>
  </si>
  <si>
    <t>NOTA de la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</si>
</sst>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0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2" fillId="4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6" borderId="1" xfId="0" applyFont="1" applyFill="1" applyBorder="1" applyAlignment="1">
      <alignment vertical="top"/>
    </xf>
    <xf numFmtId="0" fontId="0" fillId="6" borderId="1" xfId="0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8464-9973-DF4D-92DA-80C6547CED8E}">
  <sheetPr>
    <pageSetUpPr fitToPage="1"/>
  </sheetPr>
  <dimension ref="A1:L31"/>
  <sheetViews>
    <sheetView tabSelected="1" zoomScaleNormal="85" workbookViewId="0">
      <selection activeCell="A31" sqref="A31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  <col min="13" max="13" width="33.1640625" bestFit="1" customWidth="1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2" x14ac:dyDescent="0.2">
      <c r="A2" s="2" t="s">
        <v>0</v>
      </c>
      <c r="B2" s="51"/>
      <c r="C2" s="51"/>
      <c r="D2" s="51"/>
      <c r="E2" s="51"/>
      <c r="F2" s="1"/>
      <c r="G2" s="2" t="s">
        <v>1</v>
      </c>
      <c r="H2" s="52" t="s">
        <v>2</v>
      </c>
      <c r="I2" s="52"/>
      <c r="J2" s="52"/>
    </row>
    <row r="3" spans="1:12" ht="16" thickBot="1" x14ac:dyDescent="0.25">
      <c r="A3" s="3"/>
      <c r="B3" s="3" t="s">
        <v>3</v>
      </c>
      <c r="C3" s="1"/>
      <c r="D3" s="1"/>
      <c r="E3" s="1"/>
      <c r="F3" s="1"/>
      <c r="G3" s="1"/>
      <c r="H3" s="1"/>
      <c r="I3" s="1"/>
      <c r="J3" s="1"/>
    </row>
    <row r="4" spans="1:12" x14ac:dyDescent="0.2">
      <c r="A4" s="4" t="s">
        <v>4</v>
      </c>
      <c r="B4" s="53" t="s">
        <v>5</v>
      </c>
      <c r="C4" s="54"/>
      <c r="D4" s="54"/>
      <c r="E4" s="54"/>
      <c r="F4" s="54"/>
      <c r="G4" s="54"/>
      <c r="H4" s="54"/>
      <c r="I4" s="54"/>
      <c r="J4" s="55"/>
      <c r="L4" s="31" t="s">
        <v>37</v>
      </c>
    </row>
    <row r="5" spans="1:12" ht="16" thickBot="1" x14ac:dyDescent="0.25">
      <c r="A5" s="5" t="s">
        <v>6</v>
      </c>
      <c r="B5" s="56" t="s">
        <v>7</v>
      </c>
      <c r="C5" s="57"/>
      <c r="D5" s="57"/>
      <c r="E5" s="57"/>
      <c r="F5" s="57"/>
      <c r="G5" s="58"/>
      <c r="H5" s="59" t="s">
        <v>8</v>
      </c>
      <c r="I5" s="60"/>
      <c r="J5" s="61"/>
      <c r="L5" s="32" t="s">
        <v>36</v>
      </c>
    </row>
    <row r="6" spans="1:12" x14ac:dyDescent="0.2">
      <c r="A6" s="36" t="s">
        <v>9</v>
      </c>
      <c r="B6" s="39" t="s">
        <v>10</v>
      </c>
      <c r="C6" s="40"/>
      <c r="D6" s="40"/>
      <c r="E6" s="40"/>
      <c r="F6" s="40"/>
      <c r="G6" s="41"/>
      <c r="H6" s="62"/>
      <c r="I6" s="63"/>
      <c r="J6" s="64"/>
    </row>
    <row r="7" spans="1:12" x14ac:dyDescent="0.2">
      <c r="A7" s="37"/>
      <c r="B7" s="42"/>
      <c r="C7" s="43"/>
      <c r="D7" s="43"/>
      <c r="E7" s="43"/>
      <c r="F7" s="43"/>
      <c r="G7" s="44"/>
      <c r="H7" s="62"/>
      <c r="I7" s="63"/>
      <c r="J7" s="64"/>
    </row>
    <row r="8" spans="1:12" x14ac:dyDescent="0.2">
      <c r="A8" s="38"/>
      <c r="B8" s="45"/>
      <c r="C8" s="46"/>
      <c r="D8" s="46"/>
      <c r="E8" s="46"/>
      <c r="F8" s="46"/>
      <c r="G8" s="47"/>
      <c r="H8" s="62"/>
      <c r="I8" s="63"/>
      <c r="J8" s="64"/>
    </row>
    <row r="9" spans="1:12" x14ac:dyDescent="0.2">
      <c r="A9" s="27" t="s">
        <v>35</v>
      </c>
      <c r="B9" s="28">
        <v>54800</v>
      </c>
      <c r="C9" s="29"/>
      <c r="D9" s="29"/>
      <c r="E9" s="29"/>
      <c r="F9" s="29"/>
      <c r="G9" s="30"/>
      <c r="H9" s="62"/>
      <c r="I9" s="63"/>
      <c r="J9" s="64"/>
    </row>
    <row r="10" spans="1:12" x14ac:dyDescent="0.2">
      <c r="A10" s="4" t="s">
        <v>11</v>
      </c>
      <c r="B10" s="48" t="s">
        <v>12</v>
      </c>
      <c r="C10" s="49"/>
      <c r="D10" s="49"/>
      <c r="E10" s="49"/>
      <c r="F10" s="49"/>
      <c r="G10" s="50"/>
      <c r="H10" s="65"/>
      <c r="I10" s="66"/>
      <c r="J10" s="67"/>
    </row>
    <row r="11" spans="1:12" x14ac:dyDescent="0.2">
      <c r="A11" s="6" t="s">
        <v>13</v>
      </c>
      <c r="B11" s="48" t="s">
        <v>14</v>
      </c>
      <c r="C11" s="49"/>
      <c r="D11" s="49"/>
      <c r="E11" s="49"/>
      <c r="F11" s="49"/>
      <c r="G11" s="50"/>
      <c r="H11" s="68" t="s">
        <v>15</v>
      </c>
      <c r="I11" s="69"/>
      <c r="J11" s="70"/>
    </row>
    <row r="12" spans="1:12" x14ac:dyDescent="0.2">
      <c r="A12" s="6" t="s">
        <v>16</v>
      </c>
      <c r="B12" s="48" t="s">
        <v>17</v>
      </c>
      <c r="C12" s="49"/>
      <c r="D12" s="49"/>
      <c r="E12" s="49"/>
      <c r="F12" s="49"/>
      <c r="G12" s="50"/>
      <c r="H12" s="71"/>
      <c r="I12" s="72"/>
      <c r="J12" s="73"/>
    </row>
    <row r="13" spans="1:12" x14ac:dyDescent="0.2">
      <c r="A13" s="6" t="s">
        <v>18</v>
      </c>
      <c r="B13" s="48" t="s">
        <v>19</v>
      </c>
      <c r="C13" s="49"/>
      <c r="D13" s="49"/>
      <c r="E13" s="49"/>
      <c r="F13" s="49"/>
      <c r="G13" s="50"/>
      <c r="H13" s="74"/>
      <c r="I13" s="75"/>
      <c r="J13" s="76"/>
    </row>
    <row r="14" spans="1:12" x14ac:dyDescent="0.2">
      <c r="A14" s="88" t="s">
        <v>38</v>
      </c>
      <c r="B14" s="34" t="s">
        <v>37</v>
      </c>
    </row>
    <row r="15" spans="1:12" x14ac:dyDescent="0.2">
      <c r="A15" s="88" t="s">
        <v>33</v>
      </c>
      <c r="B15" s="34" t="s">
        <v>37</v>
      </c>
      <c r="C15" t="s">
        <v>34</v>
      </c>
    </row>
    <row r="16" spans="1:12" x14ac:dyDescent="0.2">
      <c r="A16" s="88" t="s">
        <v>32</v>
      </c>
      <c r="B16" s="33" t="s">
        <v>37</v>
      </c>
    </row>
    <row r="17" spans="1:12" x14ac:dyDescent="0.2">
      <c r="A17" s="1"/>
      <c r="B17" s="3"/>
      <c r="C17" s="1"/>
      <c r="D17" s="1"/>
      <c r="E17" s="1"/>
      <c r="F17" s="1"/>
      <c r="G17" s="1"/>
      <c r="H17" s="1"/>
      <c r="I17" s="1"/>
      <c r="J17" s="1"/>
    </row>
    <row r="18" spans="1:12" x14ac:dyDescent="0.2">
      <c r="A18" s="7" t="s">
        <v>20</v>
      </c>
      <c r="B18" s="7" t="s">
        <v>21</v>
      </c>
      <c r="C18" s="77" t="s">
        <v>22</v>
      </c>
      <c r="D18" s="78"/>
      <c r="E18" s="77" t="s">
        <v>23</v>
      </c>
      <c r="F18" s="79"/>
      <c r="G18" s="78"/>
      <c r="H18" s="77" t="s">
        <v>24</v>
      </c>
      <c r="I18" s="78"/>
      <c r="J18" s="7" t="s">
        <v>25</v>
      </c>
    </row>
    <row r="19" spans="1:12" ht="40.75" customHeight="1" x14ac:dyDescent="0.2">
      <c r="A19" s="8">
        <v>80121600</v>
      </c>
      <c r="B19" s="9">
        <v>1</v>
      </c>
      <c r="C19" s="80" t="s">
        <v>26</v>
      </c>
      <c r="D19" s="81"/>
      <c r="E19" s="82" t="s">
        <v>31</v>
      </c>
      <c r="F19" s="83"/>
      <c r="G19" s="84"/>
      <c r="H19" s="85">
        <v>19750</v>
      </c>
      <c r="I19" s="86"/>
      <c r="J19" s="10">
        <f t="shared" ref="J19:J23" si="0">B19*H19</f>
        <v>19750</v>
      </c>
    </row>
    <row r="20" spans="1:12" ht="14.5" customHeight="1" x14ac:dyDescent="0.2">
      <c r="A20" s="8"/>
      <c r="B20" s="9"/>
      <c r="C20" s="80"/>
      <c r="D20" s="81"/>
      <c r="E20" s="82"/>
      <c r="F20" s="83"/>
      <c r="G20" s="84"/>
      <c r="H20" s="85"/>
      <c r="I20" s="86"/>
      <c r="J20" s="10">
        <f t="shared" si="0"/>
        <v>0</v>
      </c>
    </row>
    <row r="21" spans="1:12" ht="14.5" customHeight="1" x14ac:dyDescent="0.2">
      <c r="A21" s="8"/>
      <c r="B21" s="9"/>
      <c r="C21" s="80"/>
      <c r="D21" s="81"/>
      <c r="E21" s="82"/>
      <c r="F21" s="83"/>
      <c r="G21" s="84"/>
      <c r="H21" s="85"/>
      <c r="I21" s="86"/>
      <c r="J21" s="10">
        <f t="shared" si="0"/>
        <v>0</v>
      </c>
    </row>
    <row r="22" spans="1:12" ht="14.5" customHeight="1" x14ac:dyDescent="0.2">
      <c r="A22" s="8"/>
      <c r="B22" s="9"/>
      <c r="C22" s="80"/>
      <c r="D22" s="81"/>
      <c r="E22" s="82"/>
      <c r="F22" s="83"/>
      <c r="G22" s="84"/>
      <c r="H22" s="85"/>
      <c r="I22" s="86"/>
      <c r="J22" s="10">
        <f t="shared" si="0"/>
        <v>0</v>
      </c>
    </row>
    <row r="23" spans="1:12" ht="14.5" customHeight="1" x14ac:dyDescent="0.2">
      <c r="A23" s="8"/>
      <c r="B23" s="9"/>
      <c r="C23" s="80"/>
      <c r="D23" s="81"/>
      <c r="E23" s="82"/>
      <c r="F23" s="83"/>
      <c r="G23" s="84"/>
      <c r="H23" s="85"/>
      <c r="I23" s="86"/>
      <c r="J23" s="10">
        <f t="shared" si="0"/>
        <v>0</v>
      </c>
    </row>
    <row r="24" spans="1:12" x14ac:dyDescent="0.2">
      <c r="A24" s="1"/>
      <c r="B24" s="1"/>
      <c r="C24" s="87"/>
      <c r="D24" s="87"/>
      <c r="E24" s="87"/>
      <c r="F24" s="87"/>
      <c r="G24" s="87"/>
      <c r="H24" s="87"/>
      <c r="I24" s="1"/>
      <c r="J24" s="1"/>
    </row>
    <row r="25" spans="1:12" x14ac:dyDescent="0.2">
      <c r="A25" s="1"/>
      <c r="B25" s="1"/>
      <c r="C25" s="1"/>
      <c r="D25" s="1"/>
      <c r="E25" s="1"/>
      <c r="F25" s="1"/>
      <c r="G25" s="1"/>
      <c r="H25" s="1"/>
      <c r="I25" s="11" t="s">
        <v>27</v>
      </c>
      <c r="J25" s="12">
        <f>SUM(J19:J24)</f>
        <v>19750</v>
      </c>
      <c r="K25" s="13"/>
      <c r="L25" s="14"/>
    </row>
    <row r="26" spans="1:12" x14ac:dyDescent="0.2">
      <c r="A26" s="1"/>
      <c r="B26" s="1"/>
      <c r="C26" s="1"/>
      <c r="D26" s="1"/>
      <c r="E26" s="1"/>
      <c r="F26" s="1"/>
      <c r="G26" s="1"/>
      <c r="H26" s="1"/>
      <c r="I26" s="15" t="s">
        <v>28</v>
      </c>
      <c r="J26" s="16">
        <f>J25*0.16</f>
        <v>3160</v>
      </c>
      <c r="L26" s="17"/>
    </row>
    <row r="27" spans="1:12" x14ac:dyDescent="0.2">
      <c r="A27" s="18" t="s">
        <v>29</v>
      </c>
      <c r="B27" s="19"/>
      <c r="C27" s="19"/>
      <c r="D27" s="19"/>
      <c r="E27" s="20"/>
      <c r="F27" s="1"/>
      <c r="G27" s="1"/>
      <c r="H27" s="1"/>
      <c r="I27" s="21" t="s">
        <v>25</v>
      </c>
      <c r="J27" s="22">
        <f>J25+J26</f>
        <v>22910</v>
      </c>
    </row>
    <row r="28" spans="1:12" x14ac:dyDescent="0.2">
      <c r="A28" s="23" t="s">
        <v>30</v>
      </c>
      <c r="B28" s="24"/>
      <c r="C28" s="24"/>
      <c r="D28" s="24"/>
      <c r="E28" s="25"/>
      <c r="F28" s="26"/>
      <c r="G28" s="26"/>
      <c r="H28" s="1"/>
      <c r="I28" s="1"/>
      <c r="J28" s="1"/>
    </row>
    <row r="31" spans="1:12" x14ac:dyDescent="0.2">
      <c r="A31" s="89" t="s">
        <v>39</v>
      </c>
      <c r="B31" s="35"/>
      <c r="C31" s="35"/>
      <c r="D31" s="35"/>
      <c r="E31" s="35"/>
      <c r="F31" s="35"/>
      <c r="G31" s="35"/>
      <c r="H31" s="35"/>
      <c r="I31" s="35"/>
      <c r="J31" s="35"/>
    </row>
  </sheetData>
  <mergeCells count="32">
    <mergeCell ref="C24:H24"/>
    <mergeCell ref="C21:D21"/>
    <mergeCell ref="E21:G21"/>
    <mergeCell ref="H21:I21"/>
    <mergeCell ref="C22:D22"/>
    <mergeCell ref="E22:G22"/>
    <mergeCell ref="H22:I22"/>
    <mergeCell ref="C23:D23"/>
    <mergeCell ref="E23:G23"/>
    <mergeCell ref="H23:I23"/>
    <mergeCell ref="C19:D19"/>
    <mergeCell ref="E19:G19"/>
    <mergeCell ref="H19:I19"/>
    <mergeCell ref="C20:D20"/>
    <mergeCell ref="E20:G20"/>
    <mergeCell ref="H20:I20"/>
    <mergeCell ref="B31:J31"/>
    <mergeCell ref="A6:A8"/>
    <mergeCell ref="B6:G8"/>
    <mergeCell ref="B10:G10"/>
    <mergeCell ref="B2:E2"/>
    <mergeCell ref="H2:J2"/>
    <mergeCell ref="B4:J4"/>
    <mergeCell ref="B5:G5"/>
    <mergeCell ref="H5:J10"/>
    <mergeCell ref="B11:G11"/>
    <mergeCell ref="H11:J13"/>
    <mergeCell ref="B12:G12"/>
    <mergeCell ref="B13:G13"/>
    <mergeCell ref="C18:D18"/>
    <mergeCell ref="E18:G18"/>
    <mergeCell ref="H18:I18"/>
  </mergeCells>
  <dataValidations disablePrompts="1" count="2">
    <dataValidation type="list" allowBlank="1" showInputMessage="1" showErrorMessage="1" errorTitle="Entrada no Valida" error="Seleccione un metodo de pago de la lista" promptTitle="METODO DE PAGO" prompt="Seleccione un metodo de pago de la lista" sqref="B13:G13" xr:uid="{5E9A6199-1150-1849-99CC-66F7762B4E18}">
      <formula1>INDIRECT(++$B$12)</formula1>
    </dataValidation>
    <dataValidation type="list" allowBlank="1" showInputMessage="1" showErrorMessage="1" sqref="B14:B16" xr:uid="{226588AD-9C76-E04A-928C-D7ED62943123}">
      <formula1>$L$4:$L$5</formula1>
    </dataValidation>
  </dataValidations>
  <hyperlinks>
    <hyperlink ref="A28" r:id="rId1" xr:uid="{16116783-FA7D-D942-BAAE-1316EFF0942F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 MAGAÑA CESMA JURIDICOS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2026-01-12T19:52:53Z</dcterms:created>
  <dcterms:modified xsi:type="dcterms:W3CDTF">2026-02-09T22:06:08Z</dcterms:modified>
</cp:coreProperties>
</file>