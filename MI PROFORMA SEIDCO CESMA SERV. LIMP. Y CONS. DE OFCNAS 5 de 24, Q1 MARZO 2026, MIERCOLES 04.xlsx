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Memoria\B2B_Materialidad\"/>
    </mc:Choice>
  </mc:AlternateContent>
  <xr:revisionPtr revIDLastSave="0" documentId="8_{1D4690BD-B216-430A-B139-4270D08A6DD5}" xr6:coauthVersionLast="47" xr6:coauthVersionMax="47" xr10:uidLastSave="{00000000-0000-0000-0000-000000000000}"/>
  <bookViews>
    <workbookView xWindow="366" yWindow="366" windowWidth="21390" windowHeight="11940" xr2:uid="{3D044F6E-E3DB-4B2A-B846-EE622570E130}"/>
  </bookViews>
  <sheets>
    <sheet name="SEIDCO CESMA LIMPIEZA" sheetId="1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7" i="1"/>
  <c r="J26" i="1"/>
  <c r="J25" i="1"/>
  <c r="J24" i="1"/>
  <c r="J30" i="1" l="1"/>
  <c r="J31" i="1" s="1"/>
  <c r="J32" i="1" s="1"/>
</calcChain>
</file>

<file path=xl/sharedStrings.xml><?xml version="1.0" encoding="utf-8"?>
<sst xmlns="http://schemas.openxmlformats.org/spreadsheetml/2006/main" count="45" uniqueCount="42">
  <si>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</si>
  <si>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</si>
  <si>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</si>
  <si>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</si>
  <si>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</si>
  <si>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</si>
  <si>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</si>
  <si>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</si>
  <si>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</si>
  <si>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</si>
  <si>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</si>
  <si>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</si>
  <si>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</si>
  <si>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</si>
  <si>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</si>
  <si>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</si>
  <si>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</si>
  <si>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</si>
  <si>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</si>
  <si>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</si>
  <si>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</si>
  <si>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</si>
  <si>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</si>
  <si>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</si>
  <si>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</si>
  <si>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</si>
  <si>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</si>
  <si>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</si>
  <si>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CARGO QUINCENAL 5 DE 24 POR SERVICIOS DE LIMPIEZA Y CONSERVACION DE OFICINAS, SEGUN CONTRATO</t>
  </si>
  <si>
    <t>Empresa Emisora</t>
  </si>
  <si>
    <t>Seidco Servico de Ingeniaria y administracion integral</t>
  </si>
  <si>
    <t>RFC  del EMISOR</t>
  </si>
  <si>
    <t>SSI101213VD1</t>
  </si>
  <si>
    <t>PREFACTURA o TIMBRADO</t>
  </si>
  <si>
    <t>PREFACTURA</t>
  </si>
  <si>
    <t xml:space="preserve">REQUIERE COTIZACION (S/N) </t>
  </si>
  <si>
    <t>S</t>
  </si>
  <si>
    <t>REQUIRE CONTRATO (S/N)</t>
  </si>
  <si>
    <t xml:space="preserve">SE TIENE ANTICIPO (S/N) </t>
  </si>
  <si>
    <t>N</t>
  </si>
  <si>
    <t>NOTA  de FACTURA:</t>
  </si>
  <si>
    <t>HAY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</si>
</sst>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44" fontId="0" fillId="0" borderId="0" xfId="1" applyFont="1"/>
    <xf numFmtId="44" fontId="0" fillId="0" borderId="0" xfId="0" applyNumberFormat="1"/>
    <xf numFmtId="0" fontId="5" fillId="2" borderId="1" xfId="0" applyFont="1" applyFill="1" applyBorder="1"/>
    <xf numFmtId="4" fontId="5" fillId="2" borderId="1" xfId="0" applyNumberFormat="1" applyFont="1" applyFill="1" applyBorder="1"/>
    <xf numFmtId="165" fontId="0" fillId="0" borderId="0" xfId="0" applyNumberFormat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0" fillId="2" borderId="0" xfId="0" applyFill="1" applyAlignment="1">
      <alignment vertical="top"/>
    </xf>
    <xf numFmtId="0" fontId="2" fillId="4" borderId="3" xfId="0" applyFont="1" applyFill="1" applyBorder="1"/>
    <xf numFmtId="0" fontId="2" fillId="4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4" fontId="0" fillId="2" borderId="2" xfId="1" applyFont="1" applyFill="1" applyBorder="1" applyAlignment="1">
      <alignment horizontal="center" vertical="center" wrapText="1"/>
    </xf>
    <xf numFmtId="4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555271</xdr:colOff>
      <xdr:row>3</xdr:row>
      <xdr:rowOff>29882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0ABBD5-60D3-0641-9519-7893F0FEB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98800" cy="612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Relationship Id="rId1" Type="http://schemas.openxmlformats.org/officeDocument/2006/relationships/externalLinkPath" Target="file:///D:\PERSONAL\CESAR%20CRUZ-CESMA-CLEANVIA-RICH%20MEDINA\CESMA\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9203-FE14-432A-BBFE-01747848CD47}">
  <sheetPr>
    <pageSetUpPr fitToPage="1"/>
  </sheetPr>
  <dimension ref="A4:L36"/>
  <sheetViews>
    <sheetView showGridLines="0" tabSelected="1" zoomScaleNormal="85" workbookViewId="0">
      <selection activeCell="A17" sqref="A17"/>
    </sheetView>
  </sheetViews>
  <sheetFormatPr baseColWidth="10" defaultRowHeight="14.4" x14ac:dyDescent="0.55000000000000004"/>
  <cols>
    <col min="1" max="1" width="21.47265625" customWidth="1"/>
    <col min="4" max="4" width="6.15625" customWidth="1"/>
    <col min="7" max="7" width="26.15625" customWidth="1"/>
    <col min="8" max="8" width="7.83984375" customWidth="1"/>
    <col min="9" max="9" width="8.83984375" customWidth="1"/>
    <col min="10" max="10" width="13.83984375" customWidth="1"/>
    <col min="12" max="12" width="12.83984375" bestFit="1" customWidth="1"/>
  </cols>
  <sheetData>
    <row r="4" spans="1:10" x14ac:dyDescent="0.55000000000000004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55000000000000004">
      <c r="A5" s="20" t="s">
        <v>0</v>
      </c>
      <c r="B5" s="32"/>
      <c r="C5" s="32"/>
      <c r="D5" s="32"/>
      <c r="E5" s="32"/>
      <c r="F5" s="1"/>
      <c r="G5" s="2" t="s">
        <v>1</v>
      </c>
      <c r="H5" s="33" t="s">
        <v>2</v>
      </c>
      <c r="I5" s="33"/>
      <c r="J5" s="33"/>
    </row>
    <row r="6" spans="1:10" x14ac:dyDescent="0.55000000000000004">
      <c r="A6" s="18" t="s">
        <v>29</v>
      </c>
      <c r="B6" s="3" t="s">
        <v>30</v>
      </c>
      <c r="C6" s="1"/>
      <c r="D6" s="1"/>
      <c r="E6" s="1"/>
      <c r="F6" s="1"/>
      <c r="G6" s="1"/>
      <c r="H6" s="1"/>
      <c r="I6" s="1"/>
      <c r="J6" s="1"/>
    </row>
    <row r="7" spans="1:10" x14ac:dyDescent="0.55000000000000004">
      <c r="A7" s="19" t="s">
        <v>31</v>
      </c>
      <c r="B7" s="3" t="s">
        <v>32</v>
      </c>
      <c r="C7" s="1"/>
      <c r="D7" s="1"/>
      <c r="E7" s="1"/>
      <c r="F7" s="1"/>
      <c r="G7" s="1"/>
      <c r="H7" s="1"/>
      <c r="I7" s="1"/>
      <c r="J7" s="1"/>
    </row>
    <row r="8" spans="1:10" x14ac:dyDescent="0.55000000000000004">
      <c r="A8" s="20" t="s">
        <v>3</v>
      </c>
      <c r="B8" s="37" t="s">
        <v>4</v>
      </c>
      <c r="C8" s="38"/>
      <c r="D8" s="38"/>
      <c r="E8" s="38"/>
      <c r="F8" s="38"/>
      <c r="G8" s="39"/>
      <c r="H8" s="58" t="s">
        <v>7</v>
      </c>
      <c r="I8" s="59"/>
      <c r="J8" s="60"/>
    </row>
    <row r="9" spans="1:10" ht="15" customHeight="1" x14ac:dyDescent="0.55000000000000004">
      <c r="A9" s="21" t="s">
        <v>5</v>
      </c>
      <c r="B9" s="34" t="s">
        <v>6</v>
      </c>
      <c r="C9" s="35"/>
      <c r="D9" s="35"/>
      <c r="E9" s="35"/>
      <c r="F9" s="35"/>
      <c r="G9" s="36"/>
      <c r="H9" s="61"/>
      <c r="I9" s="62"/>
      <c r="J9" s="63"/>
    </row>
    <row r="10" spans="1:10" x14ac:dyDescent="0.55000000000000004">
      <c r="A10" s="67" t="s">
        <v>8</v>
      </c>
      <c r="B10" s="70" t="s">
        <v>9</v>
      </c>
      <c r="C10" s="71"/>
      <c r="D10" s="71"/>
      <c r="E10" s="71"/>
      <c r="F10" s="71"/>
      <c r="G10" s="72"/>
      <c r="H10" s="61"/>
      <c r="I10" s="62"/>
      <c r="J10" s="63"/>
    </row>
    <row r="11" spans="1:10" x14ac:dyDescent="0.55000000000000004">
      <c r="A11" s="68"/>
      <c r="B11" s="73"/>
      <c r="C11" s="74"/>
      <c r="D11" s="74"/>
      <c r="E11" s="74"/>
      <c r="F11" s="74"/>
      <c r="G11" s="75"/>
      <c r="H11" s="61"/>
      <c r="I11" s="62"/>
      <c r="J11" s="63"/>
    </row>
    <row r="12" spans="1:10" x14ac:dyDescent="0.55000000000000004">
      <c r="A12" s="69"/>
      <c r="B12" s="76"/>
      <c r="C12" s="77"/>
      <c r="D12" s="77"/>
      <c r="E12" s="77"/>
      <c r="F12" s="77"/>
      <c r="G12" s="78"/>
      <c r="H12" s="61"/>
      <c r="I12" s="62"/>
      <c r="J12" s="63"/>
    </row>
    <row r="13" spans="1:10" x14ac:dyDescent="0.55000000000000004">
      <c r="A13" s="20" t="s">
        <v>10</v>
      </c>
      <c r="B13" s="37" t="s">
        <v>11</v>
      </c>
      <c r="C13" s="38"/>
      <c r="D13" s="38"/>
      <c r="E13" s="38"/>
      <c r="F13" s="38"/>
      <c r="G13" s="39"/>
      <c r="H13" s="64"/>
      <c r="I13" s="65"/>
      <c r="J13" s="66"/>
    </row>
    <row r="14" spans="1:10" x14ac:dyDescent="0.55000000000000004">
      <c r="A14" s="22" t="s">
        <v>12</v>
      </c>
      <c r="B14" s="37" t="s">
        <v>13</v>
      </c>
      <c r="C14" s="38"/>
      <c r="D14" s="38"/>
      <c r="E14" s="38"/>
      <c r="F14" s="38"/>
      <c r="G14" s="39"/>
      <c r="H14" s="40" t="s">
        <v>14</v>
      </c>
      <c r="I14" s="41"/>
      <c r="J14" s="42"/>
    </row>
    <row r="15" spans="1:10" x14ac:dyDescent="0.55000000000000004">
      <c r="A15" s="22" t="s">
        <v>15</v>
      </c>
      <c r="B15" s="37" t="s">
        <v>16</v>
      </c>
      <c r="C15" s="38"/>
      <c r="D15" s="38"/>
      <c r="E15" s="38"/>
      <c r="F15" s="38"/>
      <c r="G15" s="39"/>
      <c r="H15" s="43"/>
      <c r="I15" s="44"/>
      <c r="J15" s="45"/>
    </row>
    <row r="16" spans="1:10" x14ac:dyDescent="0.55000000000000004">
      <c r="A16" s="22" t="s">
        <v>17</v>
      </c>
      <c r="B16" s="37" t="s">
        <v>18</v>
      </c>
      <c r="C16" s="38"/>
      <c r="D16" s="38"/>
      <c r="E16" s="38"/>
      <c r="F16" s="38"/>
      <c r="G16" s="39"/>
      <c r="H16" s="46"/>
      <c r="I16" s="47"/>
      <c r="J16" s="48"/>
    </row>
    <row r="17" spans="1:12" x14ac:dyDescent="0.55000000000000004">
      <c r="A17" s="20" t="s">
        <v>33</v>
      </c>
      <c r="B17" s="8" t="s">
        <v>34</v>
      </c>
      <c r="C17" s="1"/>
      <c r="D17" s="1"/>
      <c r="E17" s="1"/>
      <c r="F17" s="1"/>
      <c r="G17" s="1"/>
      <c r="H17" s="1"/>
      <c r="I17" s="1"/>
      <c r="J17" s="1"/>
    </row>
    <row r="18" spans="1:12" x14ac:dyDescent="0.55000000000000004">
      <c r="A18" s="20" t="s">
        <v>35</v>
      </c>
      <c r="B18" s="23" t="s">
        <v>36</v>
      </c>
      <c r="C18" s="1"/>
      <c r="D18" s="1"/>
      <c r="E18" s="1"/>
      <c r="F18" s="1"/>
      <c r="G18" s="1"/>
      <c r="H18" s="1"/>
      <c r="I18" s="1"/>
      <c r="J18" s="1"/>
    </row>
    <row r="19" spans="1:12" x14ac:dyDescent="0.55000000000000004">
      <c r="A19" s="20" t="s">
        <v>37</v>
      </c>
      <c r="B19" s="23" t="s">
        <v>36</v>
      </c>
      <c r="C19" s="1"/>
      <c r="D19" s="1"/>
      <c r="E19" s="1"/>
      <c r="F19" s="1"/>
      <c r="G19" s="1"/>
      <c r="H19" s="1"/>
      <c r="I19" s="1"/>
      <c r="J19" s="1"/>
    </row>
    <row r="20" spans="1:12" x14ac:dyDescent="0.55000000000000004">
      <c r="A20" s="20" t="s">
        <v>38</v>
      </c>
      <c r="B20" s="23" t="s">
        <v>39</v>
      </c>
      <c r="C20" s="1"/>
      <c r="D20" s="1"/>
      <c r="E20" s="1"/>
      <c r="F20" s="1"/>
      <c r="G20" s="1"/>
      <c r="H20" s="1"/>
      <c r="I20" s="1"/>
      <c r="J20" s="1"/>
    </row>
    <row r="21" spans="1:12" x14ac:dyDescent="0.55000000000000004">
      <c r="A21" s="19" t="s">
        <v>41</v>
      </c>
      <c r="B21" s="23" t="s">
        <v>39</v>
      </c>
      <c r="C21" s="1"/>
      <c r="D21" s="1"/>
      <c r="E21" s="1"/>
      <c r="F21" s="1"/>
      <c r="G21" s="1"/>
      <c r="H21" s="1"/>
      <c r="I21" s="1"/>
      <c r="J21" s="1"/>
    </row>
    <row r="22" spans="1:12" x14ac:dyDescent="0.55000000000000004">
      <c r="A22" s="1"/>
      <c r="B22" s="3"/>
      <c r="C22" s="1"/>
      <c r="D22" s="1"/>
      <c r="E22" s="1"/>
      <c r="F22" s="1"/>
      <c r="G22" s="1"/>
      <c r="H22" s="1"/>
      <c r="I22" s="1"/>
      <c r="J22" s="1"/>
    </row>
    <row r="23" spans="1:12" x14ac:dyDescent="0.55000000000000004">
      <c r="A23" s="4" t="s">
        <v>19</v>
      </c>
      <c r="B23" s="4" t="s">
        <v>20</v>
      </c>
      <c r="C23" s="79" t="s">
        <v>21</v>
      </c>
      <c r="D23" s="80"/>
      <c r="E23" s="79" t="s">
        <v>22</v>
      </c>
      <c r="F23" s="81"/>
      <c r="G23" s="80"/>
      <c r="H23" s="79" t="s">
        <v>23</v>
      </c>
      <c r="I23" s="80"/>
      <c r="J23" s="4" t="s">
        <v>24</v>
      </c>
    </row>
    <row r="24" spans="1:12" ht="40.75" customHeight="1" x14ac:dyDescent="0.55000000000000004">
      <c r="A24" s="5">
        <v>76111500</v>
      </c>
      <c r="B24" s="6">
        <v>1</v>
      </c>
      <c r="C24" s="30" t="s">
        <v>25</v>
      </c>
      <c r="D24" s="31"/>
      <c r="E24" s="24" t="s">
        <v>28</v>
      </c>
      <c r="F24" s="25"/>
      <c r="G24" s="26"/>
      <c r="H24" s="27">
        <v>17900</v>
      </c>
      <c r="I24" s="28"/>
      <c r="J24" s="7">
        <f t="shared" ref="J24:J28" si="0">B24*H24</f>
        <v>17900</v>
      </c>
    </row>
    <row r="25" spans="1:12" ht="14.5" customHeight="1" x14ac:dyDescent="0.55000000000000004">
      <c r="A25" s="5"/>
      <c r="B25" s="6"/>
      <c r="C25" s="30"/>
      <c r="D25" s="31"/>
      <c r="E25" s="24"/>
      <c r="F25" s="25"/>
      <c r="G25" s="26"/>
      <c r="H25" s="27"/>
      <c r="I25" s="28"/>
      <c r="J25" s="7">
        <f t="shared" si="0"/>
        <v>0</v>
      </c>
    </row>
    <row r="26" spans="1:12" ht="14.5" customHeight="1" x14ac:dyDescent="0.55000000000000004">
      <c r="A26" s="5"/>
      <c r="B26" s="6"/>
      <c r="C26" s="30"/>
      <c r="D26" s="31"/>
      <c r="E26" s="24"/>
      <c r="F26" s="25"/>
      <c r="G26" s="26"/>
      <c r="H26" s="27"/>
      <c r="I26" s="28"/>
      <c r="J26" s="7">
        <f t="shared" si="0"/>
        <v>0</v>
      </c>
    </row>
    <row r="27" spans="1:12" ht="14.5" customHeight="1" x14ac:dyDescent="0.55000000000000004">
      <c r="A27" s="5"/>
      <c r="B27" s="6"/>
      <c r="C27" s="30"/>
      <c r="D27" s="31"/>
      <c r="E27" s="24"/>
      <c r="F27" s="25"/>
      <c r="G27" s="26"/>
      <c r="H27" s="27"/>
      <c r="I27" s="28"/>
      <c r="J27" s="7">
        <f t="shared" si="0"/>
        <v>0</v>
      </c>
    </row>
    <row r="28" spans="1:12" ht="14.5" customHeight="1" x14ac:dyDescent="0.55000000000000004">
      <c r="A28" s="5"/>
      <c r="B28" s="6"/>
      <c r="C28" s="30"/>
      <c r="D28" s="31"/>
      <c r="E28" s="24"/>
      <c r="F28" s="25"/>
      <c r="G28" s="26"/>
      <c r="H28" s="27"/>
      <c r="I28" s="28"/>
      <c r="J28" s="7">
        <f t="shared" si="0"/>
        <v>0</v>
      </c>
    </row>
    <row r="29" spans="1:12" x14ac:dyDescent="0.55000000000000004">
      <c r="A29" s="1"/>
      <c r="B29" s="1"/>
      <c r="C29" s="29"/>
      <c r="D29" s="29"/>
      <c r="E29" s="29"/>
      <c r="F29" s="29"/>
      <c r="G29" s="29"/>
      <c r="H29" s="29"/>
      <c r="I29" s="1"/>
      <c r="J29" s="1"/>
    </row>
    <row r="30" spans="1:12" x14ac:dyDescent="0.55000000000000004">
      <c r="A30" s="1"/>
      <c r="B30" s="1"/>
      <c r="C30" s="1"/>
      <c r="D30" s="1"/>
      <c r="E30" s="1"/>
      <c r="F30" s="1"/>
      <c r="G30" s="1"/>
      <c r="H30" s="1"/>
      <c r="I30" s="8" t="s">
        <v>26</v>
      </c>
      <c r="J30" s="9">
        <f>SUM(J24:J29)</f>
        <v>17900</v>
      </c>
      <c r="K30" s="10"/>
      <c r="L30" s="11"/>
    </row>
    <row r="31" spans="1:12" x14ac:dyDescent="0.55000000000000004">
      <c r="A31" s="1"/>
      <c r="B31" s="1"/>
      <c r="C31" s="1"/>
      <c r="D31" s="1"/>
      <c r="E31" s="1"/>
      <c r="F31" s="1"/>
      <c r="G31" s="1"/>
      <c r="H31" s="1"/>
      <c r="I31" s="12" t="s">
        <v>27</v>
      </c>
      <c r="J31" s="13">
        <f>J30*0.16</f>
        <v>2864</v>
      </c>
      <c r="L31" s="14"/>
    </row>
    <row r="32" spans="1:12" x14ac:dyDescent="0.55000000000000004">
      <c r="G32" s="1"/>
      <c r="H32" s="1"/>
      <c r="I32" s="15" t="s">
        <v>24</v>
      </c>
      <c r="J32" s="16">
        <f>J30+J31</f>
        <v>20764</v>
      </c>
    </row>
    <row r="33" spans="1:10" ht="14.7" thickBot="1" x14ac:dyDescent="0.6">
      <c r="G33" s="17"/>
      <c r="H33" s="1"/>
      <c r="I33" s="1"/>
      <c r="J33" s="1"/>
    </row>
    <row r="34" spans="1:10" x14ac:dyDescent="0.55000000000000004">
      <c r="A34" s="21" t="s">
        <v>40</v>
      </c>
      <c r="B34" s="49"/>
      <c r="C34" s="50"/>
      <c r="D34" s="50"/>
      <c r="E34" s="50"/>
      <c r="F34" s="50"/>
      <c r="G34" s="50"/>
      <c r="H34" s="50"/>
      <c r="I34" s="50"/>
      <c r="J34" s="51"/>
    </row>
    <row r="35" spans="1:10" x14ac:dyDescent="0.55000000000000004">
      <c r="B35" s="52"/>
      <c r="C35" s="53"/>
      <c r="D35" s="53"/>
      <c r="E35" s="53"/>
      <c r="F35" s="53"/>
      <c r="G35" s="53"/>
      <c r="H35" s="53"/>
      <c r="I35" s="53"/>
      <c r="J35" s="54"/>
    </row>
    <row r="36" spans="1:10" ht="14.7" thickBot="1" x14ac:dyDescent="0.6">
      <c r="B36" s="55"/>
      <c r="C36" s="56"/>
      <c r="D36" s="56"/>
      <c r="E36" s="56"/>
      <c r="F36" s="56"/>
      <c r="G36" s="56"/>
      <c r="H36" s="56"/>
      <c r="I36" s="56"/>
      <c r="J36" s="57"/>
    </row>
  </sheetData>
  <mergeCells count="32">
    <mergeCell ref="B34:J36"/>
    <mergeCell ref="B8:G8"/>
    <mergeCell ref="H8:J13"/>
    <mergeCell ref="A10:A12"/>
    <mergeCell ref="B10:G12"/>
    <mergeCell ref="B13:G13"/>
    <mergeCell ref="C23:D23"/>
    <mergeCell ref="E23:G23"/>
    <mergeCell ref="H23:I23"/>
    <mergeCell ref="C24:D24"/>
    <mergeCell ref="E24:G24"/>
    <mergeCell ref="H24:I24"/>
    <mergeCell ref="C25:D25"/>
    <mergeCell ref="E25:G25"/>
    <mergeCell ref="H25:I25"/>
    <mergeCell ref="C28:D28"/>
    <mergeCell ref="B5:E5"/>
    <mergeCell ref="H5:J5"/>
    <mergeCell ref="B9:G9"/>
    <mergeCell ref="B14:G14"/>
    <mergeCell ref="H14:J16"/>
    <mergeCell ref="B15:G15"/>
    <mergeCell ref="B16:G16"/>
    <mergeCell ref="E28:G28"/>
    <mergeCell ref="H28:I28"/>
    <mergeCell ref="C29:H29"/>
    <mergeCell ref="C26:D26"/>
    <mergeCell ref="E26:G26"/>
    <mergeCell ref="H26:I26"/>
    <mergeCell ref="C27:D27"/>
    <mergeCell ref="E27:G27"/>
    <mergeCell ref="H27:I27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6:G16" xr:uid="{81ED6B99-7B80-45FA-A105-A6194678201C}">
      <formula1>INDIRECT(++$B$15)</formula1>
    </dataValidation>
  </dataValidations>
  <pageMargins left="0.70866141732283505" right="0.70866141732283505" top="0.74803149606299202" bottom="0.74803149606299202" header="0.31496062992126" footer="0.31496062992126"/>
  <pageSetup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SEIDCO CESMA LIMPIEZA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mario magaña castañeda</cp:lastModifiedBy>
  <dcterms:created xsi:type="dcterms:W3CDTF">2026-01-12T19:39:36Z</dcterms:created>
  <dcterms:modified xsi:type="dcterms:W3CDTF">2026-03-04T17:41:58Z</dcterms:modified>
</cp:coreProperties>
</file>