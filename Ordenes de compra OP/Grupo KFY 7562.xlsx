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ate1904="1"/>
  <mc:AlternateContent xmlns:mc="http://schemas.openxmlformats.org/markup-compatibility/2006">
    <mc:Choice Requires="x15">
      <x15ac:absPath xmlns:x15ac="http://schemas.microsoft.com/office/spreadsheetml/2010/11/ac" url="C:\Users\almacen\Desktop\Documentos varios\Compras 2025\Junio 2025\"/>
    </mc:Choice>
  </mc:AlternateContent>
  <xr:revisionPtr revIDLastSave="0" documentId="13_ncr:1_{6E1AC3A5-FECC-4B2F-9DFD-1593F1DAB554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_xlnm.Print_Area" localSheetId="0">Hoja1!$A$1:$S$56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6" i="1" l="1"/>
  <c r="O44" i="1"/>
  <c r="M44" i="1"/>
  <c r="K48" i="1"/>
  <c r="M48" i="1"/>
  <c r="O48" i="1"/>
</calcChain>
</file>

<file path=xl/sharedStrings.xml><?xml version="1.0" encoding="utf-8"?>
<sst xmlns="http://schemas.openxmlformats.org/spreadsheetml/2006/main" count="122" uniqueCount="59">
  <si>
    <t>FOLIO:</t>
  </si>
  <si>
    <t>ORDEN DE COMPRA</t>
  </si>
  <si>
    <t>PROVEEDOR :</t>
  </si>
  <si>
    <t>DOMICILIO FISCAL Y DE ENTREGA :</t>
  </si>
  <si>
    <t>DOMICILIO FISCAL:</t>
  </si>
  <si>
    <t>DIATOM QUÍMICA MÉXICO, S.A. DE C.V.</t>
  </si>
  <si>
    <t>COLONIA:</t>
  </si>
  <si>
    <t>DELEGACIÓN:</t>
  </si>
  <si>
    <t>CIUDAD/ ESTADO:</t>
  </si>
  <si>
    <t>R.F.C. :</t>
  </si>
  <si>
    <t>DQM-000628-8J4</t>
  </si>
  <si>
    <t>TELEFONO:</t>
  </si>
  <si>
    <t>TEL. :</t>
  </si>
  <si>
    <t>CONTACTO:</t>
  </si>
  <si>
    <t>No. ORDEN :</t>
  </si>
  <si>
    <t>FECHA ORDEN  DE COMPRA:</t>
  </si>
  <si>
    <t>REFERENCIA :</t>
  </si>
  <si>
    <t>OBS:</t>
  </si>
  <si>
    <t>SOLICITANTE :</t>
  </si>
  <si>
    <t>CONDICIONES ENTREGA :</t>
  </si>
  <si>
    <t>CONDICIONES DE PAGO:</t>
  </si>
  <si>
    <t>CANTIDAD</t>
  </si>
  <si>
    <t>CONCEPTO</t>
  </si>
  <si>
    <t>ARTÍCULO</t>
  </si>
  <si>
    <t>PRECIO</t>
  </si>
  <si>
    <t>IMPORTE</t>
  </si>
  <si>
    <t>DESCUENTO</t>
  </si>
  <si>
    <t>PARTIDA</t>
  </si>
  <si>
    <t>U.S.D.</t>
  </si>
  <si>
    <t>T.CAMBIO</t>
  </si>
  <si>
    <t>I.V.A.</t>
  </si>
  <si>
    <t>TOTAL</t>
  </si>
  <si>
    <t>IMPORTE CON LETRA :</t>
  </si>
  <si>
    <t>CONTABILIDAD</t>
  </si>
  <si>
    <t xml:space="preserve">                        DIATOM QUÍMICA MÉXICO, S.A. DE C.V.</t>
  </si>
  <si>
    <t>52 (55) 5368-9143</t>
  </si>
  <si>
    <t>PONIENTE 146 No. 688 - COLONIA INDUSTRIAL VALLEJO, DELEGACIÓN AZCAPOTZALCO, CIUDAD DE MÉXICO, C.P. 02300</t>
  </si>
  <si>
    <t>ALMACÉN - RECIBIO</t>
  </si>
  <si>
    <t>COMPRAS</t>
  </si>
  <si>
    <t xml:space="preserve"> </t>
  </si>
  <si>
    <t>1 DIA</t>
  </si>
  <si>
    <t xml:space="preserve">  </t>
  </si>
  <si>
    <t>CONTADO</t>
  </si>
  <si>
    <t>Servicio</t>
  </si>
  <si>
    <t>Grupo KFY, S.A. de C.V.</t>
  </si>
  <si>
    <t>Galeana Oriente  No. 721</t>
  </si>
  <si>
    <t xml:space="preserve">Francisco I. Madero </t>
  </si>
  <si>
    <t>C.P. 43650</t>
  </si>
  <si>
    <t>Tulancingo</t>
  </si>
  <si>
    <t>Tulancingo, Hgo.</t>
  </si>
  <si>
    <t>GKF-111205-621</t>
  </si>
  <si>
    <t>Fecha requisicion</t>
  </si>
  <si>
    <t>No. Proveecdor</t>
  </si>
  <si>
    <t>Fumigacion a Comedor</t>
  </si>
  <si>
    <t>Julio Cesar Jimenez</t>
  </si>
  <si>
    <t>COCINA</t>
  </si>
  <si>
    <t>SEISCIENTOS NOVENTA Y SEIS PESOS 00/100 M.N.</t>
  </si>
  <si>
    <t>MB6870 - Fumigacion Comedor mes de Junio 2025</t>
  </si>
  <si>
    <t>062-06-25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</si>
</sst>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0000"/>
    <numFmt numFmtId="165" formatCode="[$$-C09]#,##0.00"/>
    <numFmt numFmtId="166" formatCode="[$-F800]dddd\,\ mmmm\ dd\,\ yyyy"/>
  </numFmts>
  <fonts count="26" x14ac:knownFonts="1">
    <font>
      <sz val="10"/>
      <name val="Tahoma"/>
    </font>
    <font>
      <sz val="10"/>
      <name val="Tahoma"/>
      <family val="2"/>
    </font>
    <font>
      <sz val="8"/>
      <name val="Tahoma"/>
      <family val="2"/>
    </font>
    <font>
      <sz val="14"/>
      <color indexed="23"/>
      <name val="Rockwell Extra Bold"/>
      <family val="1"/>
    </font>
    <font>
      <b/>
      <sz val="18"/>
      <color indexed="10"/>
      <name val="Bell MT"/>
      <family val="1"/>
    </font>
    <font>
      <b/>
      <sz val="14"/>
      <color indexed="10"/>
      <name val="Arial"/>
      <family val="2"/>
    </font>
    <font>
      <b/>
      <sz val="18"/>
      <color indexed="12"/>
      <name val="Arial Black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/>
      <sz val="13"/>
      <name val="Arial"/>
      <family val="2"/>
    </font>
    <font>
      <b/>
      <sz val="9"/>
      <name val="Arial"/>
      <family val="2"/>
    </font>
    <font>
      <sz val="12"/>
      <name val="Tahoma"/>
      <family val="2"/>
    </font>
    <font>
      <b/>
      <sz val="12"/>
      <color indexed="12"/>
      <name val="Arial"/>
      <family val="2"/>
    </font>
    <font>
      <sz val="11"/>
      <name val="Tahoma"/>
      <family val="2"/>
    </font>
    <font>
      <sz val="14"/>
      <name val="Tahoma"/>
      <family val="2"/>
    </font>
    <font>
      <b/>
      <sz val="12"/>
      <color indexed="11"/>
      <name val="Arial"/>
      <family val="2"/>
    </font>
    <font>
      <sz val="16"/>
      <color indexed="11"/>
      <name val="Tahoma"/>
      <family val="2"/>
    </font>
    <font>
      <b/>
      <sz val="11"/>
      <name val="Tahoma"/>
      <family val="2"/>
    </font>
    <font>
      <b/>
      <sz val="11"/>
      <name val="Arial"/>
      <family val="2"/>
    </font>
    <font>
      <b/>
      <sz val="11"/>
      <color indexed="11"/>
      <name val="Arial"/>
      <family val="2"/>
    </font>
    <font>
      <sz val="14"/>
      <name val="Arial"/>
      <family val="2"/>
    </font>
    <font>
      <b/>
      <sz val="18"/>
      <color indexed="10"/>
      <name val="Arial"/>
      <family val="2"/>
    </font>
    <font>
      <b/>
      <sz val="20"/>
      <color indexed="10"/>
      <name val="Arial"/>
      <family val="2"/>
    </font>
    <font>
      <sz val="14"/>
      <color indexed="11"/>
      <name val="Arial"/>
      <family val="2"/>
    </font>
    <font>
      <b/>
      <sz val="12"/>
      <name val="Tahoma"/>
      <family val="2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 style="thick">
        <color indexed="10"/>
      </left>
      <right/>
      <top/>
      <bottom style="thick">
        <color indexed="10"/>
      </bottom>
      <diagonal/>
    </border>
    <border>
      <left/>
      <right/>
      <top style="thick">
        <color indexed="10"/>
      </top>
      <bottom/>
      <diagonal/>
    </border>
    <border>
      <left/>
      <right/>
      <top/>
      <bottom style="thick">
        <color indexed="10"/>
      </bottom>
      <diagonal/>
    </border>
    <border>
      <left/>
      <right style="thick">
        <color indexed="10"/>
      </right>
      <top style="thick">
        <color indexed="10"/>
      </top>
      <bottom/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/>
    </xf>
    <xf numFmtId="0" fontId="0" fillId="0" borderId="3" xfId="0" applyBorder="1"/>
    <xf numFmtId="0" fontId="13" fillId="0" borderId="0" xfId="0" applyFont="1"/>
    <xf numFmtId="0" fontId="0" fillId="0" borderId="0" xfId="0" applyAlignment="1">
      <alignment horizontal="left"/>
    </xf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7" fillId="0" borderId="4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1" fillId="0" borderId="0" xfId="0" applyFont="1"/>
    <xf numFmtId="14" fontId="14" fillId="0" borderId="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8" fillId="0" borderId="4" xfId="0" applyFont="1" applyBorder="1"/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5" xfId="0" applyFont="1" applyBorder="1"/>
    <xf numFmtId="43" fontId="11" fillId="0" borderId="0" xfId="1" applyFont="1" applyBorder="1"/>
    <xf numFmtId="43" fontId="11" fillId="0" borderId="15" xfId="1" applyFont="1" applyBorder="1"/>
    <xf numFmtId="49" fontId="11" fillId="0" borderId="16" xfId="0" applyNumberFormat="1" applyFont="1" applyBorder="1" applyAlignment="1">
      <alignment horizontal="center"/>
    </xf>
    <xf numFmtId="165" fontId="11" fillId="0" borderId="0" xfId="1" applyNumberFormat="1" applyFont="1" applyBorder="1"/>
    <xf numFmtId="165" fontId="11" fillId="0" borderId="15" xfId="1" applyNumberFormat="1" applyFont="1" applyBorder="1"/>
    <xf numFmtId="165" fontId="15" fillId="0" borderId="0" xfId="1" applyNumberFormat="1" applyFont="1" applyBorder="1"/>
    <xf numFmtId="0" fontId="13" fillId="0" borderId="1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3" fillId="0" borderId="19" xfId="0" applyFont="1" applyBorder="1"/>
    <xf numFmtId="0" fontId="13" fillId="0" borderId="18" xfId="0" applyFont="1" applyBorder="1"/>
    <xf numFmtId="43" fontId="18" fillId="0" borderId="18" xfId="1" applyFont="1" applyBorder="1" applyAlignment="1">
      <alignment horizontal="center"/>
    </xf>
    <xf numFmtId="43" fontId="13" fillId="0" borderId="19" xfId="1" applyFont="1" applyBorder="1"/>
    <xf numFmtId="43" fontId="19" fillId="0" borderId="18" xfId="1" applyFont="1" applyBorder="1" applyAlignment="1">
      <alignment horizontal="center"/>
    </xf>
    <xf numFmtId="15" fontId="13" fillId="0" borderId="20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43" fontId="20" fillId="0" borderId="4" xfId="1" applyFont="1" applyBorder="1"/>
    <xf numFmtId="43" fontId="20" fillId="0" borderId="0" xfId="1" applyFont="1" applyBorder="1"/>
    <xf numFmtId="43" fontId="20" fillId="0" borderId="15" xfId="1" applyFont="1" applyBorder="1"/>
    <xf numFmtId="0" fontId="20" fillId="0" borderId="15" xfId="0" applyFont="1" applyBorder="1"/>
    <xf numFmtId="0" fontId="20" fillId="0" borderId="0" xfId="0" applyFont="1" applyAlignment="1">
      <alignment horizontal="center"/>
    </xf>
    <xf numFmtId="43" fontId="20" fillId="0" borderId="0" xfId="1" applyFont="1" applyBorder="1" applyAlignment="1">
      <alignment horizontal="center"/>
    </xf>
    <xf numFmtId="43" fontId="20" fillId="0" borderId="21" xfId="1" applyFont="1" applyBorder="1"/>
    <xf numFmtId="0" fontId="20" fillId="0" borderId="0" xfId="0" applyFont="1"/>
    <xf numFmtId="15" fontId="20" fillId="0" borderId="3" xfId="0" applyNumberFormat="1" applyFont="1" applyBorder="1" applyAlignment="1">
      <alignment horizontal="center"/>
    </xf>
    <xf numFmtId="0" fontId="8" fillId="0" borderId="11" xfId="0" applyFont="1" applyBorder="1" applyAlignment="1">
      <alignment horizontal="left" vertical="center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3" xfId="0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5" xfId="0" applyFont="1" applyFill="1" applyBorder="1"/>
    <xf numFmtId="0" fontId="8" fillId="2" borderId="6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left" vertical="center"/>
    </xf>
    <xf numFmtId="0" fontId="11" fillId="0" borderId="0" xfId="0" quotePrefix="1" applyFont="1" applyAlignment="1">
      <alignment horizontal="center"/>
    </xf>
    <xf numFmtId="43" fontId="23" fillId="0" borderId="21" xfId="1" applyFont="1" applyBorder="1"/>
    <xf numFmtId="0" fontId="24" fillId="0" borderId="0" xfId="0" applyFont="1" applyAlignment="1">
      <alignment horizontal="center"/>
    </xf>
    <xf numFmtId="0" fontId="25" fillId="0" borderId="3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4" fontId="24" fillId="0" borderId="0" xfId="0" applyNumberFormat="1" applyFont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1" fillId="2" borderId="32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164" fontId="22" fillId="2" borderId="34" xfId="0" applyNumberFormat="1" applyFont="1" applyFill="1" applyBorder="1" applyAlignment="1">
      <alignment horizontal="center" vertical="center"/>
    </xf>
    <xf numFmtId="164" fontId="22" fillId="2" borderId="36" xfId="0" applyNumberFormat="1" applyFont="1" applyFill="1" applyBorder="1" applyAlignment="1">
      <alignment horizontal="center" vertical="center"/>
    </xf>
    <xf numFmtId="164" fontId="22" fillId="2" borderId="35" xfId="0" applyNumberFormat="1" applyFont="1" applyFill="1" applyBorder="1" applyAlignment="1">
      <alignment horizontal="center" vertical="center"/>
    </xf>
    <xf numFmtId="164" fontId="22" fillId="2" borderId="37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0" fillId="0" borderId="4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3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0" borderId="7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13" fillId="0" borderId="0" xfId="0" applyFont="1" applyAlignment="1">
      <alignment horizontal="left"/>
    </xf>
    <xf numFmtId="0" fontId="7" fillId="0" borderId="29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14" fontId="14" fillId="0" borderId="4" xfId="0" applyNumberFormat="1" applyFont="1" applyBorder="1" applyAlignment="1">
      <alignment horizontal="center"/>
    </xf>
    <xf numFmtId="14" fontId="14" fillId="0" borderId="0" xfId="0" applyNumberFormat="1" applyFont="1" applyAlignment="1">
      <alignment horizontal="center"/>
    </xf>
    <xf numFmtId="14" fontId="14" fillId="0" borderId="3" xfId="0" applyNumberFormat="1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14" fontId="14" fillId="0" borderId="22" xfId="0" applyNumberFormat="1" applyFont="1" applyBorder="1" applyAlignment="1">
      <alignment horizontal="center"/>
    </xf>
    <xf numFmtId="14" fontId="14" fillId="0" borderId="18" xfId="0" applyNumberFormat="1" applyFont="1" applyBorder="1" applyAlignment="1">
      <alignment horizontal="center"/>
    </xf>
    <xf numFmtId="14" fontId="14" fillId="0" borderId="23" xfId="0" applyNumberFormat="1" applyFont="1" applyBorder="1" applyAlignment="1">
      <alignment horizontal="center"/>
    </xf>
    <xf numFmtId="166" fontId="14" fillId="0" borderId="22" xfId="0" applyNumberFormat="1" applyFont="1" applyBorder="1" applyAlignment="1">
      <alignment horizontal="center"/>
    </xf>
    <xf numFmtId="166" fontId="14" fillId="0" borderId="18" xfId="0" applyNumberFormat="1" applyFont="1" applyBorder="1" applyAlignment="1">
      <alignment horizontal="center"/>
    </xf>
    <xf numFmtId="166" fontId="14" fillId="0" borderId="23" xfId="0" applyNumberFormat="1" applyFont="1" applyBorder="1" applyAlignment="1">
      <alignment horizontal="center"/>
    </xf>
    <xf numFmtId="14" fontId="14" fillId="0" borderId="22" xfId="0" quotePrefix="1" applyNumberFormat="1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0" fontId="13" fillId="0" borderId="23" xfId="0" applyFont="1" applyBorder="1" applyAlignment="1">
      <alignment horizont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24" fillId="0" borderId="38" xfId="0" applyFont="1" applyBorder="1" applyAlignment="1">
      <alignment horizontal="center"/>
    </xf>
    <xf numFmtId="0" fontId="24" fillId="0" borderId="25" xfId="0" applyFont="1" applyBorder="1" applyAlignment="1">
      <alignment horizontal="center"/>
    </xf>
    <xf numFmtId="0" fontId="24" fillId="0" borderId="39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22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1" fillId="0" borderId="1" xfId="0" applyFont="1" applyBorder="1"/>
    <xf numFmtId="0" fontId="11" fillId="0" borderId="0" xfId="0" applyFont="1"/>
    <xf numFmtId="0" fontId="11" fillId="0" borderId="2" xfId="0" applyFont="1" applyBorder="1"/>
    <xf numFmtId="17" fontId="11" fillId="0" borderId="1" xfId="0" quotePrefix="1" applyNumberFormat="1" applyFont="1" applyBorder="1" applyAlignment="1">
      <alignment horizontal="left"/>
    </xf>
    <xf numFmtId="0" fontId="11" fillId="2" borderId="11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left" vertical="center"/>
    </xf>
    <xf numFmtId="0" fontId="11" fillId="0" borderId="27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8" fillId="2" borderId="11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857250</xdr:colOff>
      <xdr:row>3</xdr:row>
      <xdr:rowOff>266700</xdr:rowOff>
    </xdr:to>
    <xdr:pic>
      <xdr:nvPicPr>
        <xdr:cNvPr id="1026" name="Picture 1" descr="clip_image00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123825"/>
          <a:ext cx="981075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"/>
  <sheetViews>
    <sheetView tabSelected="1" topLeftCell="A20" zoomScaleNormal="100" workbookViewId="0">
      <selection activeCell="B22" sqref="B22:R22"/>
    </sheetView>
  </sheetViews>
  <sheetFormatPr baseColWidth="10" defaultRowHeight="12.75" x14ac:dyDescent="0.2"/>
  <cols>
    <col min="1" max="1" width="2" customWidth="1"/>
    <col min="2" max="2" width="1.85546875" customWidth="1"/>
    <col min="3" max="3" width="15.42578125" customWidth="1"/>
    <col min="4" max="4" width="1.85546875" customWidth="1"/>
    <col min="5" max="5" width="13.140625" customWidth="1"/>
    <col min="6" max="6" width="1.85546875" customWidth="1"/>
    <col min="7" max="7" width="26.85546875" customWidth="1"/>
    <col min="8" max="8" width="2" customWidth="1"/>
    <col min="9" max="9" width="33.140625" customWidth="1"/>
    <col min="10" max="10" width="2" customWidth="1"/>
    <col min="11" max="11" width="16.140625" customWidth="1"/>
    <col min="12" max="12" width="2" customWidth="1"/>
    <col min="13" max="13" width="15.140625" customWidth="1"/>
    <col min="14" max="14" width="2" customWidth="1"/>
    <col min="15" max="15" width="21.28515625" customWidth="1"/>
    <col min="16" max="16" width="2" customWidth="1"/>
    <col min="17" max="17" width="9.140625" customWidth="1"/>
    <col min="18" max="18" width="1.85546875" customWidth="1"/>
    <col min="19" max="19" width="2" customWidth="1"/>
  </cols>
  <sheetData>
    <row r="1" spans="1:19" ht="9.9499999999999993" customHeight="1" thickBot="1" x14ac:dyDescent="0.25">
      <c r="A1" s="77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9"/>
    </row>
    <row r="2" spans="1:19" ht="36.75" customHeight="1" thickTop="1" x14ac:dyDescent="0.25">
      <c r="A2" s="1"/>
      <c r="B2" s="80" t="s">
        <v>34</v>
      </c>
      <c r="C2" s="80"/>
      <c r="D2" s="80"/>
      <c r="E2" s="80"/>
      <c r="F2" s="80"/>
      <c r="G2" s="80"/>
      <c r="H2" s="80"/>
      <c r="I2" s="80"/>
      <c r="J2" s="80"/>
      <c r="K2" s="80"/>
      <c r="L2" s="81"/>
      <c r="M2" s="82" t="s">
        <v>0</v>
      </c>
      <c r="N2" s="84"/>
      <c r="O2" s="86">
        <v>7562</v>
      </c>
      <c r="P2" s="87"/>
      <c r="Q2" s="90"/>
      <c r="R2" s="90"/>
      <c r="S2" s="3"/>
    </row>
    <row r="3" spans="1:19" ht="9.75" customHeight="1" thickBot="1" x14ac:dyDescent="0.25">
      <c r="A3" s="1"/>
      <c r="B3" s="2"/>
      <c r="C3" s="81"/>
      <c r="D3" s="81"/>
      <c r="E3" s="81"/>
      <c r="F3" s="81"/>
      <c r="G3" s="81"/>
      <c r="H3" s="81"/>
      <c r="I3" s="81"/>
      <c r="J3" s="81"/>
      <c r="K3" s="81"/>
      <c r="L3" s="81"/>
      <c r="M3" s="83"/>
      <c r="N3" s="85"/>
      <c r="O3" s="88"/>
      <c r="P3" s="89"/>
      <c r="Q3" s="81"/>
      <c r="R3" s="81"/>
      <c r="S3" s="3"/>
    </row>
    <row r="4" spans="1:19" s="4" customFormat="1" ht="23.1" customHeight="1" thickTop="1" x14ac:dyDescent="0.2">
      <c r="A4" s="1"/>
      <c r="B4" s="91" t="s">
        <v>1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3"/>
    </row>
    <row r="5" spans="1:19" ht="5.0999999999999996" customHeight="1" thickBot="1" x14ac:dyDescent="0.3">
      <c r="A5" s="1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3"/>
    </row>
    <row r="6" spans="1:19" ht="6" customHeight="1" x14ac:dyDescent="0.2">
      <c r="A6" s="1"/>
      <c r="B6" s="92"/>
      <c r="C6" s="93"/>
      <c r="D6" s="93"/>
      <c r="E6" s="93"/>
      <c r="F6" s="93"/>
      <c r="G6" s="93"/>
      <c r="H6" s="93"/>
      <c r="I6" s="93"/>
      <c r="J6" s="93"/>
      <c r="K6" s="94"/>
      <c r="M6" s="92"/>
      <c r="N6" s="93"/>
      <c r="O6" s="93"/>
      <c r="P6" s="93"/>
      <c r="Q6" s="93"/>
      <c r="R6" s="94"/>
      <c r="S6" s="3"/>
    </row>
    <row r="7" spans="1:19" ht="29.1" customHeight="1" x14ac:dyDescent="0.25">
      <c r="A7" s="1"/>
      <c r="B7" s="95" t="s">
        <v>2</v>
      </c>
      <c r="C7" s="96"/>
      <c r="E7" s="97" t="s">
        <v>44</v>
      </c>
      <c r="F7" s="97"/>
      <c r="G7" s="97"/>
      <c r="H7" s="97"/>
      <c r="I7" s="97"/>
      <c r="J7" s="97"/>
      <c r="K7" s="98"/>
      <c r="M7" s="99" t="s">
        <v>3</v>
      </c>
      <c r="N7" s="100"/>
      <c r="O7" s="100"/>
      <c r="P7" s="100"/>
      <c r="Q7" s="100"/>
      <c r="R7" s="101"/>
      <c r="S7" s="3"/>
    </row>
    <row r="8" spans="1:19" ht="15.75" x14ac:dyDescent="0.25">
      <c r="A8" s="1"/>
      <c r="B8" s="103" t="s">
        <v>4</v>
      </c>
      <c r="C8" s="104"/>
      <c r="D8" s="104"/>
      <c r="E8" s="105" t="s">
        <v>45</v>
      </c>
      <c r="F8" s="105"/>
      <c r="G8" s="105"/>
      <c r="H8" s="105"/>
      <c r="I8" s="105"/>
      <c r="J8" s="105"/>
      <c r="K8" s="106"/>
      <c r="M8" s="107" t="s">
        <v>5</v>
      </c>
      <c r="N8" s="108"/>
      <c r="O8" s="108"/>
      <c r="P8" s="108"/>
      <c r="Q8" s="108"/>
      <c r="R8" s="109"/>
      <c r="S8" s="3"/>
    </row>
    <row r="9" spans="1:19" ht="15" x14ac:dyDescent="0.2">
      <c r="A9" s="1"/>
      <c r="B9" s="103" t="s">
        <v>6</v>
      </c>
      <c r="C9" s="104"/>
      <c r="E9" s="105" t="s">
        <v>46</v>
      </c>
      <c r="F9" s="105"/>
      <c r="G9" s="105"/>
      <c r="H9" s="5"/>
      <c r="I9" s="5" t="s">
        <v>47</v>
      </c>
      <c r="K9" s="73" t="s">
        <v>52</v>
      </c>
      <c r="M9" s="110" t="s">
        <v>36</v>
      </c>
      <c r="N9" s="111"/>
      <c r="O9" s="111"/>
      <c r="P9" s="111"/>
      <c r="Q9" s="111"/>
      <c r="R9" s="112"/>
      <c r="S9" s="3"/>
    </row>
    <row r="10" spans="1:19" ht="15" x14ac:dyDescent="0.2">
      <c r="A10" s="1"/>
      <c r="B10" s="103" t="s">
        <v>7</v>
      </c>
      <c r="C10" s="104"/>
      <c r="E10" s="105" t="s">
        <v>48</v>
      </c>
      <c r="F10" s="105"/>
      <c r="G10" s="105"/>
      <c r="H10" s="7"/>
      <c r="I10" s="7"/>
      <c r="K10" s="73">
        <v>261</v>
      </c>
      <c r="M10" s="110"/>
      <c r="N10" s="111"/>
      <c r="O10" s="111"/>
      <c r="P10" s="111"/>
      <c r="Q10" s="111"/>
      <c r="R10" s="112"/>
      <c r="S10" s="3"/>
    </row>
    <row r="11" spans="1:19" ht="15" x14ac:dyDescent="0.2">
      <c r="A11" s="1"/>
      <c r="B11" s="103" t="s">
        <v>8</v>
      </c>
      <c r="C11" s="104"/>
      <c r="E11" s="105" t="s">
        <v>49</v>
      </c>
      <c r="F11" s="105"/>
      <c r="G11" s="105"/>
      <c r="H11" s="7"/>
      <c r="I11" s="7"/>
      <c r="J11" s="8"/>
      <c r="K11" s="6"/>
      <c r="M11" s="110"/>
      <c r="N11" s="111"/>
      <c r="O11" s="111"/>
      <c r="P11" s="111"/>
      <c r="Q11" s="111"/>
      <c r="R11" s="112"/>
      <c r="S11" s="3"/>
    </row>
    <row r="12" spans="1:19" ht="15" x14ac:dyDescent="0.2">
      <c r="A12" s="1"/>
      <c r="B12" s="103" t="s">
        <v>9</v>
      </c>
      <c r="C12" s="104"/>
      <c r="E12" s="105" t="s">
        <v>50</v>
      </c>
      <c r="F12" s="105"/>
      <c r="G12" s="105"/>
      <c r="H12" s="8"/>
      <c r="I12" s="8"/>
      <c r="K12" s="6"/>
      <c r="M12" s="9" t="s">
        <v>9</v>
      </c>
      <c r="O12" s="117" t="s">
        <v>10</v>
      </c>
      <c r="P12" s="117"/>
      <c r="Q12" s="117"/>
      <c r="R12" s="6"/>
      <c r="S12" s="3"/>
    </row>
    <row r="13" spans="1:19" ht="15" x14ac:dyDescent="0.2">
      <c r="A13" s="1"/>
      <c r="B13" s="103" t="s">
        <v>11</v>
      </c>
      <c r="C13" s="104"/>
      <c r="E13" s="105" t="s">
        <v>39</v>
      </c>
      <c r="F13" s="105"/>
      <c r="G13" s="105"/>
      <c r="I13" s="8"/>
      <c r="J13" s="8"/>
      <c r="K13" s="6"/>
      <c r="M13" s="9" t="s">
        <v>12</v>
      </c>
      <c r="O13" s="117" t="s">
        <v>35</v>
      </c>
      <c r="P13" s="117"/>
      <c r="Q13" s="117"/>
      <c r="R13" s="6"/>
      <c r="S13" s="3"/>
    </row>
    <row r="14" spans="1:19" ht="15.75" thickBot="1" x14ac:dyDescent="0.25">
      <c r="A14" s="1"/>
      <c r="B14" s="113" t="s">
        <v>13</v>
      </c>
      <c r="C14" s="114"/>
      <c r="D14" s="10"/>
      <c r="E14" s="115" t="s">
        <v>39</v>
      </c>
      <c r="F14" s="115"/>
      <c r="G14" s="115"/>
      <c r="H14" s="10"/>
      <c r="I14" s="10"/>
      <c r="J14" s="10"/>
      <c r="K14" s="11"/>
      <c r="M14" s="12"/>
      <c r="N14" s="10"/>
      <c r="O14" s="116"/>
      <c r="P14" s="116"/>
      <c r="Q14" s="116"/>
      <c r="R14" s="11"/>
      <c r="S14" s="3"/>
    </row>
    <row r="15" spans="1:19" ht="9.9499999999999993" customHeight="1" thickBot="1" x14ac:dyDescent="0.25">
      <c r="A15" s="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3"/>
    </row>
    <row r="16" spans="1:19" ht="6" customHeight="1" x14ac:dyDescent="0.2">
      <c r="A16" s="1"/>
      <c r="B16" s="92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4"/>
      <c r="S16" s="3"/>
    </row>
    <row r="17" spans="1:21" s="18" customFormat="1" ht="15.75" x14ac:dyDescent="0.25">
      <c r="A17" s="1"/>
      <c r="B17" s="13"/>
      <c r="C17" s="118" t="s">
        <v>14</v>
      </c>
      <c r="D17" s="119"/>
      <c r="E17" s="120"/>
      <c r="F17" s="14"/>
      <c r="G17" s="118" t="s">
        <v>15</v>
      </c>
      <c r="H17" s="119"/>
      <c r="I17" s="120"/>
      <c r="J17" s="15"/>
      <c r="K17" s="118" t="s">
        <v>16</v>
      </c>
      <c r="L17" s="119"/>
      <c r="M17" s="120"/>
      <c r="N17" s="16"/>
      <c r="O17" s="118" t="s">
        <v>17</v>
      </c>
      <c r="P17" s="119"/>
      <c r="Q17" s="120"/>
      <c r="R17" s="17"/>
      <c r="S17" s="3"/>
    </row>
    <row r="18" spans="1:21" ht="30" customHeight="1" x14ac:dyDescent="0.25">
      <c r="A18" s="1"/>
      <c r="B18" s="19"/>
      <c r="C18" s="127" t="s">
        <v>58</v>
      </c>
      <c r="D18" s="128"/>
      <c r="E18" s="129"/>
      <c r="F18" s="14"/>
      <c r="G18" s="130">
        <v>44364</v>
      </c>
      <c r="H18" s="131"/>
      <c r="I18" s="132"/>
      <c r="J18" s="15"/>
      <c r="K18" s="133">
        <v>44362</v>
      </c>
      <c r="L18" s="134"/>
      <c r="M18" s="135"/>
      <c r="N18" s="16"/>
      <c r="O18" s="136" t="s">
        <v>53</v>
      </c>
      <c r="P18" s="137"/>
      <c r="Q18" s="138"/>
      <c r="R18" s="20"/>
      <c r="S18" s="3"/>
    </row>
    <row r="19" spans="1:21" ht="12.95" customHeight="1" x14ac:dyDescent="0.25">
      <c r="A19" s="1"/>
      <c r="B19" s="121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3"/>
      <c r="S19" s="3"/>
    </row>
    <row r="20" spans="1:21" ht="15.75" x14ac:dyDescent="0.25">
      <c r="A20" s="1"/>
      <c r="B20" s="21"/>
      <c r="C20" s="118" t="s">
        <v>18</v>
      </c>
      <c r="D20" s="119"/>
      <c r="E20" s="120"/>
      <c r="G20" s="118" t="s">
        <v>19</v>
      </c>
      <c r="H20" s="119"/>
      <c r="I20" s="120"/>
      <c r="J20" s="22"/>
      <c r="K20" s="124" t="s">
        <v>20</v>
      </c>
      <c r="L20" s="125"/>
      <c r="M20" s="126"/>
      <c r="N20" s="23"/>
      <c r="O20" s="72" t="s">
        <v>51</v>
      </c>
      <c r="P20" s="24"/>
      <c r="Q20" s="24"/>
      <c r="R20" s="17"/>
      <c r="S20" s="3"/>
    </row>
    <row r="21" spans="1:21" ht="30" customHeight="1" x14ac:dyDescent="0.2">
      <c r="A21" s="1"/>
      <c r="B21" s="21"/>
      <c r="C21" s="147" t="s">
        <v>54</v>
      </c>
      <c r="D21" s="148"/>
      <c r="E21" s="149"/>
      <c r="F21" s="74"/>
      <c r="G21" s="150" t="s">
        <v>40</v>
      </c>
      <c r="H21" s="151"/>
      <c r="I21" s="152"/>
      <c r="J21" s="4"/>
      <c r="K21" s="153" t="s">
        <v>42</v>
      </c>
      <c r="L21" s="154"/>
      <c r="M21" s="155"/>
      <c r="N21" s="75"/>
      <c r="O21" s="76">
        <v>44361</v>
      </c>
      <c r="P21" s="24"/>
      <c r="Q21" s="24"/>
      <c r="R21" s="20"/>
      <c r="S21" s="3"/>
    </row>
    <row r="22" spans="1:21" ht="6" customHeight="1" thickBot="1" x14ac:dyDescent="0.25">
      <c r="A22" s="1"/>
      <c r="B22" s="156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8"/>
      <c r="S22" s="3"/>
    </row>
    <row r="23" spans="1:21" ht="9.9499999999999993" customHeight="1" thickBot="1" x14ac:dyDescent="0.25">
      <c r="A23" s="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3"/>
    </row>
    <row r="24" spans="1:21" ht="24.95" customHeight="1" thickBot="1" x14ac:dyDescent="0.25">
      <c r="A24" s="1"/>
      <c r="B24" s="25"/>
      <c r="C24" s="26" t="s">
        <v>21</v>
      </c>
      <c r="D24" s="27"/>
      <c r="E24" s="28" t="s">
        <v>22</v>
      </c>
      <c r="F24" s="27"/>
      <c r="G24" s="139" t="s">
        <v>23</v>
      </c>
      <c r="H24" s="140"/>
      <c r="I24" s="141"/>
      <c r="J24" s="27"/>
      <c r="K24" s="28" t="s">
        <v>24</v>
      </c>
      <c r="L24" s="27"/>
      <c r="M24" s="28" t="s">
        <v>25</v>
      </c>
      <c r="N24" s="27"/>
      <c r="O24" s="28" t="s">
        <v>26</v>
      </c>
      <c r="P24" s="27"/>
      <c r="Q24" s="29" t="s">
        <v>27</v>
      </c>
      <c r="R24" s="30"/>
      <c r="S24" s="3"/>
      <c r="T24" s="31"/>
      <c r="U24" s="32"/>
    </row>
    <row r="25" spans="1:21" s="18" customFormat="1" ht="17.100000000000001" customHeight="1" x14ac:dyDescent="0.2">
      <c r="A25" s="1"/>
      <c r="B25" s="33"/>
      <c r="C25" s="24"/>
      <c r="D25" s="34"/>
      <c r="E25" s="24"/>
      <c r="F25" s="35"/>
      <c r="G25" s="142" t="s">
        <v>55</v>
      </c>
      <c r="H25" s="143"/>
      <c r="I25" s="144"/>
      <c r="J25" s="35"/>
      <c r="K25" s="36"/>
      <c r="L25" s="37"/>
      <c r="M25" s="36"/>
      <c r="N25" s="37"/>
      <c r="O25" s="36"/>
      <c r="P25" s="35"/>
      <c r="R25" s="38"/>
      <c r="S25" s="3"/>
    </row>
    <row r="26" spans="1:21" s="18" customFormat="1" ht="17.100000000000001" customHeight="1" x14ac:dyDescent="0.2">
      <c r="A26" s="1"/>
      <c r="B26" s="33"/>
      <c r="C26" s="24">
        <v>1</v>
      </c>
      <c r="D26" s="34"/>
      <c r="E26" s="24" t="s">
        <v>43</v>
      </c>
      <c r="F26" s="35"/>
      <c r="G26" s="145" t="s">
        <v>57</v>
      </c>
      <c r="H26" s="105"/>
      <c r="I26" s="146"/>
      <c r="J26" s="35" t="s">
        <v>39</v>
      </c>
      <c r="K26" s="39">
        <v>600</v>
      </c>
      <c r="L26" s="40"/>
      <c r="M26" s="39">
        <f>+K26*C26</f>
        <v>600</v>
      </c>
      <c r="N26" s="40"/>
      <c r="O26" s="39">
        <v>0</v>
      </c>
      <c r="P26" s="35" t="s">
        <v>39</v>
      </c>
      <c r="Q26" s="70">
        <v>1</v>
      </c>
      <c r="R26" s="38"/>
      <c r="S26" s="3"/>
    </row>
    <row r="27" spans="1:21" s="18" customFormat="1" ht="17.100000000000001" customHeight="1" x14ac:dyDescent="0.2">
      <c r="A27" s="1"/>
      <c r="B27" s="33"/>
      <c r="C27" s="24" t="s">
        <v>39</v>
      </c>
      <c r="D27" s="34" t="s">
        <v>39</v>
      </c>
      <c r="E27" s="24" t="s">
        <v>39</v>
      </c>
      <c r="F27" s="35" t="s">
        <v>39</v>
      </c>
      <c r="G27" s="162" t="s">
        <v>39</v>
      </c>
      <c r="H27" s="105"/>
      <c r="I27" s="146"/>
      <c r="J27" s="35" t="s">
        <v>39</v>
      </c>
      <c r="K27" s="39" t="s">
        <v>39</v>
      </c>
      <c r="L27" s="40" t="s">
        <v>39</v>
      </c>
      <c r="M27" s="39" t="s">
        <v>39</v>
      </c>
      <c r="N27" s="40" t="s">
        <v>39</v>
      </c>
      <c r="O27" s="39" t="s">
        <v>39</v>
      </c>
      <c r="P27" s="35" t="s">
        <v>39</v>
      </c>
      <c r="Q27" s="70" t="s">
        <v>39</v>
      </c>
      <c r="R27" s="38" t="s">
        <v>39</v>
      </c>
      <c r="S27" s="3" t="s">
        <v>39</v>
      </c>
    </row>
    <row r="28" spans="1:21" s="18" customFormat="1" ht="17.100000000000001" customHeight="1" x14ac:dyDescent="0.2">
      <c r="A28" s="1"/>
      <c r="B28" s="33"/>
      <c r="C28" s="24" t="s">
        <v>39</v>
      </c>
      <c r="D28" s="34" t="s">
        <v>41</v>
      </c>
      <c r="E28" s="24" t="s">
        <v>39</v>
      </c>
      <c r="F28" s="35" t="s">
        <v>39</v>
      </c>
      <c r="G28" s="145" t="s">
        <v>39</v>
      </c>
      <c r="H28" s="105"/>
      <c r="I28" s="146"/>
      <c r="J28" s="35" t="s">
        <v>39</v>
      </c>
      <c r="K28" s="39" t="s">
        <v>39</v>
      </c>
      <c r="L28" s="40" t="s">
        <v>39</v>
      </c>
      <c r="M28" s="39" t="s">
        <v>39</v>
      </c>
      <c r="N28" s="40" t="s">
        <v>39</v>
      </c>
      <c r="O28" s="39" t="s">
        <v>39</v>
      </c>
      <c r="P28" s="35" t="s">
        <v>39</v>
      </c>
      <c r="Q28" s="70" t="s">
        <v>39</v>
      </c>
      <c r="R28" s="38"/>
      <c r="S28" s="3"/>
    </row>
    <row r="29" spans="1:21" s="18" customFormat="1" ht="17.100000000000001" customHeight="1" x14ac:dyDescent="0.2">
      <c r="A29" s="1"/>
      <c r="B29" s="33"/>
      <c r="C29" s="24" t="s">
        <v>39</v>
      </c>
      <c r="D29" s="34" t="s">
        <v>39</v>
      </c>
      <c r="E29" s="24" t="s">
        <v>41</v>
      </c>
      <c r="F29" s="35"/>
      <c r="G29" s="145" t="s">
        <v>39</v>
      </c>
      <c r="H29" s="105"/>
      <c r="I29" s="146"/>
      <c r="J29" s="35" t="s">
        <v>39</v>
      </c>
      <c r="K29" s="39" t="s">
        <v>39</v>
      </c>
      <c r="L29" s="40" t="s">
        <v>39</v>
      </c>
      <c r="M29" s="39" t="s">
        <v>39</v>
      </c>
      <c r="N29" s="40" t="s">
        <v>39</v>
      </c>
      <c r="O29" s="39" t="s">
        <v>39</v>
      </c>
      <c r="P29" s="35" t="s">
        <v>39</v>
      </c>
      <c r="Q29" s="70" t="s">
        <v>39</v>
      </c>
      <c r="R29" s="38"/>
      <c r="S29" s="3"/>
    </row>
    <row r="30" spans="1:21" s="18" customFormat="1" ht="17.100000000000001" customHeight="1" x14ac:dyDescent="0.2">
      <c r="A30" s="1"/>
      <c r="B30" s="33"/>
      <c r="C30" s="24" t="s">
        <v>41</v>
      </c>
      <c r="D30" s="34" t="s">
        <v>39</v>
      </c>
      <c r="E30" s="24" t="s">
        <v>39</v>
      </c>
      <c r="F30" s="35"/>
      <c r="G30" s="159" t="s">
        <v>39</v>
      </c>
      <c r="H30" s="160"/>
      <c r="I30" s="161"/>
      <c r="J30" s="35"/>
      <c r="K30" s="39" t="s">
        <v>39</v>
      </c>
      <c r="L30" s="40"/>
      <c r="M30" s="39" t="s">
        <v>39</v>
      </c>
      <c r="N30" s="40"/>
      <c r="O30" s="39" t="s">
        <v>39</v>
      </c>
      <c r="P30" s="35"/>
      <c r="Q30" s="70" t="s">
        <v>39</v>
      </c>
      <c r="R30" s="38"/>
      <c r="S30" s="3"/>
    </row>
    <row r="31" spans="1:21" s="18" customFormat="1" ht="17.100000000000001" customHeight="1" x14ac:dyDescent="0.2">
      <c r="A31" s="1"/>
      <c r="B31" s="33"/>
      <c r="C31" s="24" t="s">
        <v>39</v>
      </c>
      <c r="D31" s="34"/>
      <c r="E31" s="24" t="s">
        <v>39</v>
      </c>
      <c r="F31" s="35"/>
      <c r="G31" s="145" t="s">
        <v>39</v>
      </c>
      <c r="H31" s="105"/>
      <c r="I31" s="146"/>
      <c r="J31" s="35"/>
      <c r="K31" s="39" t="s">
        <v>39</v>
      </c>
      <c r="L31" s="40"/>
      <c r="M31" s="39" t="s">
        <v>39</v>
      </c>
      <c r="N31" s="40"/>
      <c r="O31" s="39" t="s">
        <v>39</v>
      </c>
      <c r="P31" s="35"/>
      <c r="Q31" s="70" t="s">
        <v>39</v>
      </c>
      <c r="R31" s="38"/>
      <c r="S31" s="3"/>
    </row>
    <row r="32" spans="1:21" s="18" customFormat="1" ht="17.100000000000001" customHeight="1" x14ac:dyDescent="0.2">
      <c r="A32" s="1"/>
      <c r="B32" s="33"/>
      <c r="C32" s="24"/>
      <c r="D32" s="34"/>
      <c r="E32" s="24"/>
      <c r="F32" s="35"/>
      <c r="G32" s="145" t="s">
        <v>39</v>
      </c>
      <c r="H32" s="105"/>
      <c r="I32" s="146"/>
      <c r="J32" s="35"/>
      <c r="K32" s="39"/>
      <c r="L32" s="40"/>
      <c r="M32" s="39"/>
      <c r="N32" s="40"/>
      <c r="O32" s="39"/>
      <c r="P32" s="35"/>
      <c r="Q32" s="70"/>
      <c r="R32" s="38"/>
      <c r="S32" s="3"/>
    </row>
    <row r="33" spans="1:21" s="18" customFormat="1" ht="17.100000000000001" customHeight="1" x14ac:dyDescent="0.2">
      <c r="A33" s="1"/>
      <c r="B33" s="33"/>
      <c r="C33" s="24"/>
      <c r="D33" s="34"/>
      <c r="E33" s="24"/>
      <c r="F33" s="35"/>
      <c r="G33" s="159" t="s">
        <v>39</v>
      </c>
      <c r="H33" s="160"/>
      <c r="I33" s="161"/>
      <c r="J33" s="35"/>
      <c r="K33" s="39"/>
      <c r="L33" s="40"/>
      <c r="M33" s="39"/>
      <c r="N33" s="40"/>
      <c r="O33" s="39"/>
      <c r="P33" s="35"/>
      <c r="Q33" s="70"/>
      <c r="R33" s="38"/>
      <c r="S33" s="3"/>
    </row>
    <row r="34" spans="1:21" s="18" customFormat="1" ht="17.100000000000001" customHeight="1" x14ac:dyDescent="0.2">
      <c r="A34" s="1"/>
      <c r="B34" s="33"/>
      <c r="C34" s="24"/>
      <c r="D34" s="34"/>
      <c r="E34" s="24"/>
      <c r="F34" s="35"/>
      <c r="G34" s="145" t="s">
        <v>39</v>
      </c>
      <c r="H34" s="105"/>
      <c r="I34" s="146"/>
      <c r="J34" s="35"/>
      <c r="K34" s="39"/>
      <c r="L34" s="40"/>
      <c r="M34" s="39"/>
      <c r="N34" s="40"/>
      <c r="O34" s="39"/>
      <c r="P34" s="35"/>
      <c r="Q34" s="70"/>
      <c r="R34" s="38"/>
      <c r="S34" s="3"/>
    </row>
    <row r="35" spans="1:21" s="18" customFormat="1" ht="17.100000000000001" customHeight="1" x14ac:dyDescent="0.2">
      <c r="A35" s="1"/>
      <c r="B35" s="33"/>
      <c r="C35" s="24"/>
      <c r="D35" s="34"/>
      <c r="E35" s="24"/>
      <c r="F35" s="35"/>
      <c r="G35" s="145"/>
      <c r="H35" s="105"/>
      <c r="I35" s="146"/>
      <c r="J35" s="35"/>
      <c r="K35" s="39"/>
      <c r="L35" s="40"/>
      <c r="M35" s="39"/>
      <c r="N35" s="40"/>
      <c r="O35" s="39"/>
      <c r="P35" s="35"/>
      <c r="Q35" s="70"/>
      <c r="R35" s="38"/>
      <c r="S35" s="3"/>
    </row>
    <row r="36" spans="1:21" s="18" customFormat="1" ht="17.100000000000001" customHeight="1" x14ac:dyDescent="0.2">
      <c r="A36" s="1"/>
      <c r="B36" s="33"/>
      <c r="C36" s="24"/>
      <c r="D36" s="34"/>
      <c r="E36" s="24"/>
      <c r="F36" s="35"/>
      <c r="G36" s="145"/>
      <c r="H36" s="105"/>
      <c r="I36" s="146"/>
      <c r="J36" s="35"/>
      <c r="K36" s="39"/>
      <c r="L36" s="40"/>
      <c r="M36" s="39"/>
      <c r="N36" s="40"/>
      <c r="O36" s="39"/>
      <c r="P36" s="35"/>
      <c r="Q36" s="24"/>
      <c r="R36" s="38"/>
      <c r="S36" s="3"/>
    </row>
    <row r="37" spans="1:21" s="18" customFormat="1" ht="17.100000000000001" customHeight="1" x14ac:dyDescent="0.2">
      <c r="A37" s="1"/>
      <c r="B37" s="33"/>
      <c r="C37" s="24"/>
      <c r="D37" s="34"/>
      <c r="E37" s="24"/>
      <c r="F37" s="35"/>
      <c r="G37" s="159"/>
      <c r="H37" s="160"/>
      <c r="I37" s="161"/>
      <c r="J37" s="35"/>
      <c r="K37" s="39"/>
      <c r="L37" s="40"/>
      <c r="M37" s="39"/>
      <c r="N37" s="40"/>
      <c r="O37" s="39"/>
      <c r="P37" s="35"/>
      <c r="Q37" s="70"/>
      <c r="R37" s="38"/>
      <c r="S37" s="3"/>
    </row>
    <row r="38" spans="1:21" s="18" customFormat="1" ht="17.100000000000001" customHeight="1" x14ac:dyDescent="0.2">
      <c r="A38" s="1"/>
      <c r="B38" s="33"/>
      <c r="C38" s="24"/>
      <c r="D38" s="34"/>
      <c r="E38" s="24"/>
      <c r="F38" s="35"/>
      <c r="G38" s="145"/>
      <c r="H38" s="105"/>
      <c r="I38" s="146"/>
      <c r="J38" s="35"/>
      <c r="K38" s="39"/>
      <c r="L38" s="40"/>
      <c r="M38" s="39"/>
      <c r="N38" s="40"/>
      <c r="O38" s="39"/>
      <c r="P38" s="35"/>
      <c r="Q38" s="24"/>
      <c r="R38" s="38"/>
      <c r="S38" s="3"/>
    </row>
    <row r="39" spans="1:21" s="18" customFormat="1" ht="17.100000000000001" customHeight="1" x14ac:dyDescent="0.2">
      <c r="A39" s="1"/>
      <c r="B39" s="33"/>
      <c r="C39" s="24"/>
      <c r="D39" s="34"/>
      <c r="E39" s="24"/>
      <c r="F39" s="35"/>
      <c r="G39" s="145"/>
      <c r="H39" s="105"/>
      <c r="I39" s="146"/>
      <c r="J39" s="35"/>
      <c r="K39" s="39"/>
      <c r="L39" s="40"/>
      <c r="M39" s="39"/>
      <c r="N39" s="40"/>
      <c r="O39" s="39"/>
      <c r="P39" s="35"/>
      <c r="Q39" s="70"/>
      <c r="R39" s="38"/>
      <c r="S39" s="3"/>
    </row>
    <row r="40" spans="1:21" s="18" customFormat="1" ht="17.100000000000001" customHeight="1" x14ac:dyDescent="0.2">
      <c r="A40" s="1"/>
      <c r="B40" s="33"/>
      <c r="C40" s="24"/>
      <c r="D40" s="34"/>
      <c r="E40" s="24"/>
      <c r="F40" s="35"/>
      <c r="G40" s="145"/>
      <c r="H40" s="105"/>
      <c r="I40" s="146"/>
      <c r="J40" s="35"/>
      <c r="K40" s="39"/>
      <c r="L40" s="40"/>
      <c r="M40" s="39"/>
      <c r="N40" s="40"/>
      <c r="O40" s="39"/>
      <c r="P40" s="35"/>
      <c r="Q40" s="70"/>
      <c r="R40" s="38"/>
      <c r="S40" s="3"/>
      <c r="U40" s="18" t="s">
        <v>39</v>
      </c>
    </row>
    <row r="41" spans="1:21" s="18" customFormat="1" ht="17.100000000000001" customHeight="1" x14ac:dyDescent="0.2">
      <c r="A41" s="1"/>
      <c r="B41" s="33"/>
      <c r="C41" s="24"/>
      <c r="D41" s="34"/>
      <c r="E41" s="24"/>
      <c r="F41" s="35"/>
      <c r="G41" s="145"/>
      <c r="H41" s="105"/>
      <c r="I41" s="146"/>
      <c r="J41" s="35"/>
      <c r="K41" s="39"/>
      <c r="L41" s="40"/>
      <c r="M41" s="39"/>
      <c r="N41" s="40"/>
      <c r="O41" s="39"/>
      <c r="P41" s="35"/>
      <c r="Q41" s="24"/>
      <c r="R41" s="38"/>
      <c r="S41" s="3"/>
    </row>
    <row r="42" spans="1:21" s="18" customFormat="1" ht="17.100000000000001" customHeight="1" x14ac:dyDescent="0.2">
      <c r="A42" s="1"/>
      <c r="B42" s="33"/>
      <c r="C42" s="24"/>
      <c r="D42" s="34"/>
      <c r="E42" s="24"/>
      <c r="F42" s="35"/>
      <c r="G42" s="145"/>
      <c r="H42" s="105"/>
      <c r="I42" s="146"/>
      <c r="J42" s="35"/>
      <c r="K42" s="39"/>
      <c r="L42" s="40"/>
      <c r="M42" s="39"/>
      <c r="N42" s="40"/>
      <c r="O42" s="39"/>
      <c r="P42" s="35"/>
      <c r="Q42" s="24"/>
      <c r="R42" s="38"/>
      <c r="S42" s="3"/>
    </row>
    <row r="43" spans="1:21" s="18" customFormat="1" ht="17.100000000000001" customHeight="1" x14ac:dyDescent="0.2">
      <c r="A43" s="1"/>
      <c r="B43" s="33"/>
      <c r="C43" s="24"/>
      <c r="D43" s="34"/>
      <c r="E43" s="24"/>
      <c r="F43" s="35"/>
      <c r="G43" s="145"/>
      <c r="H43" s="105"/>
      <c r="I43" s="146"/>
      <c r="J43" s="35"/>
      <c r="K43" s="39"/>
      <c r="L43" s="40"/>
      <c r="M43" s="39"/>
      <c r="N43" s="40"/>
      <c r="O43" s="39"/>
      <c r="P43" s="35"/>
      <c r="R43" s="38"/>
      <c r="S43" s="3"/>
    </row>
    <row r="44" spans="1:21" s="18" customFormat="1" ht="17.100000000000001" customHeight="1" x14ac:dyDescent="0.25">
      <c r="A44" s="1"/>
      <c r="B44" s="33"/>
      <c r="C44" s="24"/>
      <c r="D44" s="34"/>
      <c r="E44" s="24"/>
      <c r="F44" s="35"/>
      <c r="G44" s="145"/>
      <c r="H44" s="105"/>
      <c r="I44" s="146"/>
      <c r="J44" s="35"/>
      <c r="K44" s="39"/>
      <c r="L44" s="40"/>
      <c r="M44" s="41">
        <f>SUM(M26:M43)</f>
        <v>600</v>
      </c>
      <c r="N44" s="40"/>
      <c r="O44" s="39">
        <f>SUM(O26:O43)</f>
        <v>0</v>
      </c>
      <c r="P44" s="35"/>
      <c r="R44" s="38"/>
      <c r="S44" s="3"/>
    </row>
    <row r="45" spans="1:21" s="18" customFormat="1" ht="15.75" thickBot="1" x14ac:dyDescent="0.25">
      <c r="A45" s="1"/>
      <c r="B45" s="33"/>
      <c r="C45" s="24"/>
      <c r="D45" s="34"/>
      <c r="E45" s="24"/>
      <c r="F45" s="35"/>
      <c r="G45" s="165"/>
      <c r="H45" s="115"/>
      <c r="I45" s="166"/>
      <c r="J45" s="35"/>
      <c r="K45" s="36"/>
      <c r="L45" s="37"/>
      <c r="M45" s="36"/>
      <c r="N45" s="37"/>
      <c r="O45" s="36"/>
      <c r="P45" s="35"/>
      <c r="R45" s="38"/>
      <c r="S45" s="3"/>
    </row>
    <row r="46" spans="1:21" ht="6" customHeight="1" x14ac:dyDescent="0.2">
      <c r="A46" s="1"/>
      <c r="B46" s="92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4"/>
      <c r="S46" s="3"/>
    </row>
    <row r="47" spans="1:21" s="7" customFormat="1" ht="15" x14ac:dyDescent="0.25">
      <c r="A47" s="42"/>
      <c r="B47" s="43"/>
      <c r="C47" s="44" t="s">
        <v>28</v>
      </c>
      <c r="D47" s="45"/>
      <c r="E47" s="44" t="s">
        <v>29</v>
      </c>
      <c r="F47" s="45"/>
      <c r="G47" s="46"/>
      <c r="H47" s="46"/>
      <c r="I47" s="46"/>
      <c r="J47" s="45"/>
      <c r="K47" s="47" t="s">
        <v>25</v>
      </c>
      <c r="L47" s="48"/>
      <c r="M47" s="47" t="s">
        <v>30</v>
      </c>
      <c r="N47" s="48"/>
      <c r="O47" s="49" t="s">
        <v>31</v>
      </c>
      <c r="P47" s="45"/>
      <c r="Q47" s="46"/>
      <c r="R47" s="50"/>
      <c r="S47" s="51"/>
    </row>
    <row r="48" spans="1:21" s="59" customFormat="1" ht="33.950000000000003" customHeight="1" thickBot="1" x14ac:dyDescent="0.3">
      <c r="A48" s="1"/>
      <c r="B48" s="52"/>
      <c r="C48" s="53"/>
      <c r="D48" s="54"/>
      <c r="E48" s="53"/>
      <c r="F48" s="55"/>
      <c r="G48" s="56"/>
      <c r="H48" s="56"/>
      <c r="I48" s="57"/>
      <c r="J48" s="55"/>
      <c r="K48" s="58">
        <f>M44-O44</f>
        <v>600</v>
      </c>
      <c r="L48" s="54"/>
      <c r="M48" s="58">
        <f>K48*0.16</f>
        <v>96</v>
      </c>
      <c r="N48" s="54"/>
      <c r="O48" s="71">
        <f>K48+M48</f>
        <v>696</v>
      </c>
      <c r="P48" s="55"/>
      <c r="R48" s="60"/>
      <c r="S48" s="3"/>
    </row>
    <row r="49" spans="1:19" ht="9.9499999999999993" customHeight="1" thickBot="1" x14ac:dyDescent="0.25">
      <c r="A49" s="1"/>
      <c r="B49" s="156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8"/>
      <c r="S49" s="3"/>
    </row>
    <row r="50" spans="1:19" ht="9.9499999999999993" customHeight="1" thickBot="1" x14ac:dyDescent="0.25">
      <c r="A50" s="1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3"/>
    </row>
    <row r="51" spans="1:19" ht="39.950000000000003" customHeight="1" thickBot="1" x14ac:dyDescent="0.25">
      <c r="A51" s="1"/>
      <c r="B51" s="69"/>
      <c r="C51" s="140" t="s">
        <v>32</v>
      </c>
      <c r="D51" s="140"/>
      <c r="E51" s="140"/>
      <c r="F51" s="61"/>
      <c r="G51" s="163" t="s">
        <v>56</v>
      </c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4"/>
      <c r="S51" s="3"/>
    </row>
    <row r="52" spans="1:19" ht="9.9499999999999993" customHeight="1" thickBot="1" x14ac:dyDescent="0.25">
      <c r="A52" s="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3"/>
    </row>
    <row r="53" spans="1:19" ht="5.0999999999999996" customHeight="1" x14ac:dyDescent="0.2">
      <c r="A53" s="1"/>
      <c r="B53" s="172"/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4"/>
      <c r="S53" s="3"/>
    </row>
    <row r="54" spans="1:19" ht="30" customHeight="1" thickBot="1" x14ac:dyDescent="0.25">
      <c r="A54" s="1"/>
      <c r="B54" s="62"/>
      <c r="C54" s="175"/>
      <c r="D54" s="175"/>
      <c r="E54" s="175"/>
      <c r="F54" s="175"/>
      <c r="G54" s="63"/>
      <c r="H54" s="63"/>
      <c r="I54" s="175"/>
      <c r="J54" s="175"/>
      <c r="K54" s="175"/>
      <c r="L54" s="63"/>
      <c r="M54" s="63"/>
      <c r="N54" s="175"/>
      <c r="O54" s="175"/>
      <c r="P54" s="175"/>
      <c r="Q54" s="175"/>
      <c r="R54" s="64"/>
      <c r="S54" s="3"/>
    </row>
    <row r="55" spans="1:19" ht="13.5" thickBot="1" x14ac:dyDescent="0.25">
      <c r="A55" s="1"/>
      <c r="B55" s="65"/>
      <c r="C55" s="167" t="s">
        <v>37</v>
      </c>
      <c r="D55" s="167"/>
      <c r="E55" s="167"/>
      <c r="F55" s="167"/>
      <c r="G55" s="66"/>
      <c r="H55" s="67"/>
      <c r="I55" s="168" t="s">
        <v>38</v>
      </c>
      <c r="J55" s="168"/>
      <c r="K55" s="168"/>
      <c r="L55" s="66"/>
      <c r="M55" s="66"/>
      <c r="N55" s="167" t="s">
        <v>33</v>
      </c>
      <c r="O55" s="167"/>
      <c r="P55" s="167"/>
      <c r="Q55" s="167"/>
      <c r="R55" s="68"/>
      <c r="S55" s="3"/>
    </row>
    <row r="56" spans="1:19" ht="9.9499999999999993" customHeight="1" x14ac:dyDescent="0.2">
      <c r="A56" s="169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1"/>
    </row>
  </sheetData>
  <mergeCells count="90">
    <mergeCell ref="C55:F55"/>
    <mergeCell ref="I55:K55"/>
    <mergeCell ref="N55:Q55"/>
    <mergeCell ref="A56:S56"/>
    <mergeCell ref="B52:R52"/>
    <mergeCell ref="B53:R53"/>
    <mergeCell ref="C54:F54"/>
    <mergeCell ref="I54:K54"/>
    <mergeCell ref="N54:Q54"/>
    <mergeCell ref="B49:R49"/>
    <mergeCell ref="B50:R50"/>
    <mergeCell ref="C51:E51"/>
    <mergeCell ref="G51:R51"/>
    <mergeCell ref="G43:I43"/>
    <mergeCell ref="G44:I44"/>
    <mergeCell ref="G45:I45"/>
    <mergeCell ref="B46:R46"/>
    <mergeCell ref="G39:I39"/>
    <mergeCell ref="G40:I40"/>
    <mergeCell ref="G41:I41"/>
    <mergeCell ref="G42:I42"/>
    <mergeCell ref="G35:I35"/>
    <mergeCell ref="G36:I36"/>
    <mergeCell ref="G37:I37"/>
    <mergeCell ref="G38:I38"/>
    <mergeCell ref="G31:I31"/>
    <mergeCell ref="G32:I32"/>
    <mergeCell ref="G33:I33"/>
    <mergeCell ref="G34:I34"/>
    <mergeCell ref="G27:I27"/>
    <mergeCell ref="G28:I28"/>
    <mergeCell ref="G29:I29"/>
    <mergeCell ref="G30:I30"/>
    <mergeCell ref="B23:R23"/>
    <mergeCell ref="G24:I24"/>
    <mergeCell ref="G25:I25"/>
    <mergeCell ref="G26:I26"/>
    <mergeCell ref="C21:E21"/>
    <mergeCell ref="G21:I21"/>
    <mergeCell ref="K21:M21"/>
    <mergeCell ref="B22:R22"/>
    <mergeCell ref="B19:R19"/>
    <mergeCell ref="C20:E20"/>
    <mergeCell ref="G20:I20"/>
    <mergeCell ref="K20:M20"/>
    <mergeCell ref="C18:E18"/>
    <mergeCell ref="G18:I18"/>
    <mergeCell ref="K18:M18"/>
    <mergeCell ref="O18:Q18"/>
    <mergeCell ref="B16:R16"/>
    <mergeCell ref="C17:E17"/>
    <mergeCell ref="G17:I17"/>
    <mergeCell ref="K17:M17"/>
    <mergeCell ref="O17:Q17"/>
    <mergeCell ref="B14:C14"/>
    <mergeCell ref="E14:G14"/>
    <mergeCell ref="O14:Q14"/>
    <mergeCell ref="B15:R15"/>
    <mergeCell ref="B12:C12"/>
    <mergeCell ref="E12:G12"/>
    <mergeCell ref="O12:Q12"/>
    <mergeCell ref="B13:C13"/>
    <mergeCell ref="E13:G13"/>
    <mergeCell ref="O13:Q13"/>
    <mergeCell ref="B8:D8"/>
    <mergeCell ref="E8:K8"/>
    <mergeCell ref="M8:R8"/>
    <mergeCell ref="B9:C9"/>
    <mergeCell ref="E9:G9"/>
    <mergeCell ref="M9:R11"/>
    <mergeCell ref="B10:C10"/>
    <mergeCell ref="E10:G10"/>
    <mergeCell ref="B11:C11"/>
    <mergeCell ref="E11:G11"/>
    <mergeCell ref="B4:R4"/>
    <mergeCell ref="B6:K6"/>
    <mergeCell ref="M6:R6"/>
    <mergeCell ref="B7:C7"/>
    <mergeCell ref="E7:K7"/>
    <mergeCell ref="M7:R7"/>
    <mergeCell ref="B5:R5"/>
    <mergeCell ref="A1:S1"/>
    <mergeCell ref="B2:K2"/>
    <mergeCell ref="L2:L3"/>
    <mergeCell ref="M2:M3"/>
    <mergeCell ref="N2:N3"/>
    <mergeCell ref="O2:P3"/>
    <mergeCell ref="Q2:R2"/>
    <mergeCell ref="C3:K3"/>
    <mergeCell ref="Q3:R3"/>
  </mergeCells>
  <phoneticPr fontId="2"/>
  <printOptions horizontalCentered="1" verticalCentered="1"/>
  <pageMargins left="0" right="0" top="0" bottom="0" header="0" footer="0"/>
  <pageSetup scale="63" orientation="portrait" r:id="rId1"/>
  <headerFooter alignWithMargins="0"/>
  <ignoredErrors>
    <ignoredError sqref="Q36 Q38 Q34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Hoja2</vt:lpstr>
      <vt:lpstr>Hoja3</vt:lpstr>
      <vt:lpstr>Hoja4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Bonifacio</dc:creator>
  <cp:lastModifiedBy>Guillermo Martinez</cp:lastModifiedBy>
  <cp:lastPrinted>2025-06-19T19:50:35Z</cp:lastPrinted>
  <dcterms:created xsi:type="dcterms:W3CDTF">2008-07-02T18:53:07Z</dcterms:created>
  <dcterms:modified xsi:type="dcterms:W3CDTF">2025-06-19T19:51:07Z</dcterms:modified>
</cp:coreProperties>
</file>